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0826d24e6c1bf8/"/>
    </mc:Choice>
  </mc:AlternateContent>
  <xr:revisionPtr revIDLastSave="0" documentId="8_{650017FD-9762-4145-B3CE-141E6F9F68E8}" xr6:coauthVersionLast="47" xr6:coauthVersionMax="47" xr10:uidLastSave="{00000000-0000-0000-0000-000000000000}"/>
  <bookViews>
    <workbookView xWindow="-110" yWindow="-110" windowWidth="19420" windowHeight="11500" xr2:uid="{C7875141-64C9-40B2-99CA-453496D2C345}"/>
  </bookViews>
  <sheets>
    <sheet name="Transactions" sheetId="1" r:id="rId1"/>
    <sheet name="Budget" sheetId="2" r:id="rId2"/>
    <sheet name="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H14" i="3"/>
  <c r="G14" i="3"/>
  <c r="H13" i="3"/>
  <c r="G13" i="3"/>
  <c r="H12" i="3"/>
  <c r="G12" i="3"/>
  <c r="G33" i="3"/>
  <c r="F33" i="3"/>
  <c r="B33" i="3"/>
  <c r="C38" i="3"/>
  <c r="B38" i="3"/>
  <c r="D38" i="3" s="1"/>
  <c r="C37" i="3"/>
  <c r="B37" i="3"/>
  <c r="C36" i="3"/>
  <c r="B36" i="3"/>
  <c r="D36" i="3" s="1"/>
  <c r="C35" i="3"/>
  <c r="B35" i="3"/>
  <c r="D35" i="3" s="1"/>
  <c r="C34" i="3"/>
  <c r="B34" i="3"/>
  <c r="C33" i="3"/>
  <c r="C19" i="3"/>
  <c r="B19" i="3"/>
  <c r="D19" i="3" s="1"/>
  <c r="B18" i="3"/>
  <c r="D18" i="3" s="1"/>
  <c r="C18" i="3"/>
  <c r="C17" i="3"/>
  <c r="B17" i="3"/>
  <c r="D17" i="3" s="1"/>
  <c r="C16" i="3"/>
  <c r="B16" i="3"/>
  <c r="D16" i="3" s="1"/>
  <c r="C15" i="3"/>
  <c r="B15" i="3"/>
  <c r="D15" i="3" s="1"/>
  <c r="C14" i="3"/>
  <c r="B14" i="3"/>
  <c r="D14" i="3" s="1"/>
  <c r="C13" i="3"/>
  <c r="B13" i="3"/>
  <c r="D13" i="3" s="1"/>
  <c r="C12" i="3"/>
  <c r="B12" i="3"/>
  <c r="D12" i="3" s="1"/>
  <c r="D11" i="3"/>
  <c r="C11" i="3"/>
  <c r="B11" i="3"/>
  <c r="J4" i="3"/>
  <c r="D4" i="3"/>
  <c r="A4" i="3"/>
  <c r="D37" i="3" l="1"/>
  <c r="D34" i="3"/>
  <c r="D33" i="3"/>
</calcChain>
</file>

<file path=xl/sharedStrings.xml><?xml version="1.0" encoding="utf-8"?>
<sst xmlns="http://schemas.openxmlformats.org/spreadsheetml/2006/main" count="570" uniqueCount="120">
  <si>
    <t>Date</t>
  </si>
  <si>
    <t>Country</t>
  </si>
  <si>
    <t>Currency</t>
  </si>
  <si>
    <t>Type</t>
  </si>
  <si>
    <t>Month</t>
  </si>
  <si>
    <t>Category</t>
  </si>
  <si>
    <t>Budget</t>
  </si>
  <si>
    <t>Operations</t>
  </si>
  <si>
    <t>Technology</t>
  </si>
  <si>
    <t>Logistics</t>
  </si>
  <si>
    <t>Administration</t>
  </si>
  <si>
    <t>Salaries</t>
  </si>
  <si>
    <t>Emergency Response</t>
  </si>
  <si>
    <t>TREASURY &amp; FINANCIAL ANALYSIS DASHBOARD</t>
  </si>
  <si>
    <t>TOTAL INFLOW</t>
  </si>
  <si>
    <t>TOTAL OUTFLOW</t>
  </si>
  <si>
    <t>NET CASH FLOW</t>
  </si>
  <si>
    <t>TRANSACTIONS</t>
  </si>
  <si>
    <t>PENDING TRANSACTIONS</t>
  </si>
  <si>
    <t>Inflow</t>
  </si>
  <si>
    <t>Outflow</t>
  </si>
  <si>
    <t>Net Cash Flow</t>
  </si>
  <si>
    <t>Amount</t>
  </si>
  <si>
    <t>Account</t>
  </si>
  <si>
    <t>Status</t>
  </si>
  <si>
    <t>TXN001</t>
  </si>
  <si>
    <t>India</t>
  </si>
  <si>
    <t>USD</t>
  </si>
  <si>
    <t>Funding</t>
  </si>
  <si>
    <t>Main Account</t>
  </si>
  <si>
    <t>Completed</t>
  </si>
  <si>
    <t>TXN002</t>
  </si>
  <si>
    <t>Kenya</t>
  </si>
  <si>
    <t>TXN003</t>
  </si>
  <si>
    <t>Germany</t>
  </si>
  <si>
    <t>EUR</t>
  </si>
  <si>
    <t>Reserve Account</t>
  </si>
  <si>
    <t>TXN004</t>
  </si>
  <si>
    <t>TXN005</t>
  </si>
  <si>
    <t>Ethiopia</t>
  </si>
  <si>
    <t>Operations Account</t>
  </si>
  <si>
    <t>TXN006</t>
  </si>
  <si>
    <t>France</t>
  </si>
  <si>
    <t>TXN007</t>
  </si>
  <si>
    <t>Pending</t>
  </si>
  <si>
    <t>TXN008</t>
  </si>
  <si>
    <t>TXN009</t>
  </si>
  <si>
    <t>TXN010</t>
  </si>
  <si>
    <t>Bangladesh</t>
  </si>
  <si>
    <t>TXN011</t>
  </si>
  <si>
    <t>TXN012</t>
  </si>
  <si>
    <t>TXN013</t>
  </si>
  <si>
    <t>TXN014</t>
  </si>
  <si>
    <t>Travel</t>
  </si>
  <si>
    <t>TXN015</t>
  </si>
  <si>
    <t>TXN016</t>
  </si>
  <si>
    <t>TXN017</t>
  </si>
  <si>
    <t>TXN018</t>
  </si>
  <si>
    <t>United Kingdom</t>
  </si>
  <si>
    <t>GBP</t>
  </si>
  <si>
    <t>TXN019</t>
  </si>
  <si>
    <t>TXN020</t>
  </si>
  <si>
    <t>TXN021</t>
  </si>
  <si>
    <t>TXN022</t>
  </si>
  <si>
    <t>TXN023</t>
  </si>
  <si>
    <t>TXN024</t>
  </si>
  <si>
    <t>TXN025</t>
  </si>
  <si>
    <t>TXN026</t>
  </si>
  <si>
    <t>TXN027</t>
  </si>
  <si>
    <t>TXN028</t>
  </si>
  <si>
    <t>TXN029</t>
  </si>
  <si>
    <t>United States</t>
  </si>
  <si>
    <t>TXN030</t>
  </si>
  <si>
    <t>TXN031</t>
  </si>
  <si>
    <t>TXN032</t>
  </si>
  <si>
    <t>TXN033</t>
  </si>
  <si>
    <t>TXN034</t>
  </si>
  <si>
    <t>TXN035</t>
  </si>
  <si>
    <t>TXN036</t>
  </si>
  <si>
    <t>TXN037</t>
  </si>
  <si>
    <t>TXN038</t>
  </si>
  <si>
    <t>TXN039</t>
  </si>
  <si>
    <t>TXN040</t>
  </si>
  <si>
    <t>TXN041</t>
  </si>
  <si>
    <t>TXN042</t>
  </si>
  <si>
    <t>TXN043</t>
  </si>
  <si>
    <t>TXN044</t>
  </si>
  <si>
    <t>TXN045</t>
  </si>
  <si>
    <t>TXN046</t>
  </si>
  <si>
    <t>TXN047</t>
  </si>
  <si>
    <t>TXN048</t>
  </si>
  <si>
    <t>TXN049</t>
  </si>
  <si>
    <t>TXN050</t>
  </si>
  <si>
    <t>TXN051</t>
  </si>
  <si>
    <t>TXN052</t>
  </si>
  <si>
    <t>TXN053</t>
  </si>
  <si>
    <t>TXN054</t>
  </si>
  <si>
    <t>TXN055</t>
  </si>
  <si>
    <t>TXN056</t>
  </si>
  <si>
    <t>TXN057</t>
  </si>
  <si>
    <t>TXN058</t>
  </si>
  <si>
    <t>TXN059</t>
  </si>
  <si>
    <t>TXN060</t>
  </si>
  <si>
    <t>TXN061</t>
  </si>
  <si>
    <t>TXN062</t>
  </si>
  <si>
    <t>TXN063</t>
  </si>
  <si>
    <t>TXN064</t>
  </si>
  <si>
    <t>TXN065</t>
  </si>
  <si>
    <t>Comp</t>
  </si>
  <si>
    <t>Transactions_ID</t>
  </si>
  <si>
    <t>BUDGET VS ACTUAL ANALYSIS</t>
  </si>
  <si>
    <t>CATEGORY</t>
  </si>
  <si>
    <t>BUDGET</t>
  </si>
  <si>
    <t>ACTUAL</t>
  </si>
  <si>
    <t>VARIANCE</t>
  </si>
  <si>
    <t>PENDING COUNT</t>
  </si>
  <si>
    <t>AMOUNT</t>
  </si>
  <si>
    <t>ACCOUNT ANALYSIS</t>
  </si>
  <si>
    <t>INFLOW</t>
  </si>
  <si>
    <t>OUTFLOW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</si>
</sst>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1" xfId="0" applyFont="1" applyBorder="1"/>
    <xf numFmtId="16" fontId="2" fillId="0" borderId="1" xfId="0" applyNumberFormat="1" applyFont="1" applyBorder="1"/>
    <xf numFmtId="43" fontId="2" fillId="0" borderId="1" xfId="1" applyFont="1" applyBorder="1"/>
    <xf numFmtId="0" fontId="2" fillId="2" borderId="1" xfId="0" applyFont="1" applyFill="1" applyBorder="1"/>
    <xf numFmtId="0" fontId="2" fillId="2" borderId="2" xfId="0" applyFont="1" applyFill="1" applyBorder="1"/>
    <xf numFmtId="0" fontId="0" fillId="2" borderId="0" xfId="0" applyFill="1"/>
    <xf numFmtId="0" fontId="2" fillId="2" borderId="0" xfId="0" applyFont="1" applyFill="1"/>
    <xf numFmtId="0" fontId="2" fillId="3" borderId="0" xfId="0" applyFont="1" applyFill="1"/>
    <xf numFmtId="43" fontId="0" fillId="0" borderId="1" xfId="1" applyFont="1" applyBorder="1"/>
    <xf numFmtId="0" fontId="0" fillId="0" borderId="1" xfId="0" applyBorder="1"/>
    <xf numFmtId="43" fontId="0" fillId="0" borderId="1" xfId="0" applyNumberFormat="1" applyBorder="1"/>
    <xf numFmtId="16" fontId="0" fillId="0" borderId="1" xfId="0" applyNumberFormat="1" applyBorder="1"/>
    <xf numFmtId="0" fontId="2" fillId="2" borderId="0" xfId="0" applyFont="1" applyFill="1" applyAlignment="1">
      <alignment wrapText="1"/>
    </xf>
    <xf numFmtId="14" fontId="0" fillId="0" borderId="1" xfId="0" applyNumberFormat="1" applyBorder="1"/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Cash Inflow vs Outflow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Dashboard!$B$10</c:f>
              <c:strCache>
                <c:ptCount val="1"/>
                <c:pt idx="0">
                  <c:v>Inflow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Dashboard!$A$11:$A$19</c:f>
              <c:numCache>
                <c:formatCode>d\-mmm</c:formatCode>
                <c:ptCount val="9"/>
                <c:pt idx="0">
                  <c:v>46048</c:v>
                </c:pt>
                <c:pt idx="1">
                  <c:v>46079</c:v>
                </c:pt>
                <c:pt idx="2">
                  <c:v>46107</c:v>
                </c:pt>
                <c:pt idx="3">
                  <c:v>46138</c:v>
                </c:pt>
                <c:pt idx="4">
                  <c:v>46168</c:v>
                </c:pt>
                <c:pt idx="5">
                  <c:v>46199</c:v>
                </c:pt>
                <c:pt idx="6">
                  <c:v>46229</c:v>
                </c:pt>
                <c:pt idx="7">
                  <c:v>46260</c:v>
                </c:pt>
                <c:pt idx="8">
                  <c:v>46291</c:v>
                </c:pt>
              </c:numCache>
            </c:numRef>
          </c:cat>
          <c:val>
            <c:numRef>
              <c:f>Dashboard!$B$11:$B$19</c:f>
              <c:numCache>
                <c:formatCode>_(* #,##0.00_);_(* \(#,##0.00\);_(* "-"??_);_(@_)</c:formatCode>
                <c:ptCount val="9"/>
                <c:pt idx="0">
                  <c:v>65000</c:v>
                </c:pt>
                <c:pt idx="1">
                  <c:v>57500</c:v>
                </c:pt>
                <c:pt idx="2">
                  <c:v>55000</c:v>
                </c:pt>
                <c:pt idx="3">
                  <c:v>100000</c:v>
                </c:pt>
                <c:pt idx="4">
                  <c:v>61000</c:v>
                </c:pt>
                <c:pt idx="5">
                  <c:v>96000</c:v>
                </c:pt>
                <c:pt idx="6">
                  <c:v>87000</c:v>
                </c:pt>
                <c:pt idx="7">
                  <c:v>75000</c:v>
                </c:pt>
                <c:pt idx="8">
                  <c:v>114000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DB-4EC3-BD42-21369C8CEF00}"/>
            </c:ext>
          </c:extLst>
        </c:ser>
        <c:ser>
          <c:idx val="1"/>
          <c:order val="1"/>
          <c:tx>
            <c:strRef>
              <c:f>Dashboard!$C$10</c:f>
              <c:strCache>
                <c:ptCount val="1"/>
                <c:pt idx="0">
                  <c:v>Outflow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Dashboard!$A$11:$A$19</c:f>
              <c:numCache>
                <c:formatCode>d\-mmm</c:formatCode>
                <c:ptCount val="9"/>
                <c:pt idx="0">
                  <c:v>46048</c:v>
                </c:pt>
                <c:pt idx="1">
                  <c:v>46079</c:v>
                </c:pt>
                <c:pt idx="2">
                  <c:v>46107</c:v>
                </c:pt>
                <c:pt idx="3">
                  <c:v>46138</c:v>
                </c:pt>
                <c:pt idx="4">
                  <c:v>46168</c:v>
                </c:pt>
                <c:pt idx="5">
                  <c:v>46199</c:v>
                </c:pt>
                <c:pt idx="6">
                  <c:v>46229</c:v>
                </c:pt>
                <c:pt idx="7">
                  <c:v>46260</c:v>
                </c:pt>
                <c:pt idx="8">
                  <c:v>46291</c:v>
                </c:pt>
              </c:numCache>
            </c:numRef>
          </c:cat>
          <c:val>
            <c:numRef>
              <c:f>Dashboard!$C$11:$C$19</c:f>
              <c:numCache>
                <c:formatCode>_(* #,##0.00_);_(* \(#,##0.00\);_(* "-"??_);_(@_)</c:formatCode>
                <c:ptCount val="9"/>
                <c:pt idx="0">
                  <c:v>43500</c:v>
                </c:pt>
                <c:pt idx="1">
                  <c:v>56700</c:v>
                </c:pt>
                <c:pt idx="2">
                  <c:v>69000</c:v>
                </c:pt>
                <c:pt idx="3">
                  <c:v>100000</c:v>
                </c:pt>
                <c:pt idx="4">
                  <c:v>74200</c:v>
                </c:pt>
                <c:pt idx="5">
                  <c:v>72100</c:v>
                </c:pt>
                <c:pt idx="6">
                  <c:v>92700</c:v>
                </c:pt>
                <c:pt idx="7">
                  <c:v>84900</c:v>
                </c:pt>
                <c:pt idx="8">
                  <c:v>87900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DB-4EC3-BD42-21369C8CE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940768"/>
        <c:axId val="67944608"/>
      </c:barChart>
      <c:dateAx>
        <c:axId val="679407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44608"/>
        <c:crosses val="autoZero"/>
        <c:auto val="1"/>
        <c:lblOffset val="100"/>
        <c:baseTimeUnit val="months"/>
      </c:dateAx>
      <c:valAx>
        <c:axId val="6794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4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Net 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61830520533326"/>
          <c:y val="0.27902048326433426"/>
          <c:w val="0.75821312518385242"/>
          <c:h val="0.66948453608247427"/>
        </c:manualLayout>
      </c:layout>
      <c:lineChart>
        <c:grouping val="standard"/>
        <c:varyColors val="0"/>
        <c:ser>
          <c:idx val="0"/>
          <c:order val="0"/>
          <c:tx>
            <c:strRef>
              <c:f>Dashboard!$D$10</c:f>
              <c:strCache>
                <c:ptCount val="1"/>
                <c:pt idx="0">
                  <c:v>Net Cash Flow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Dashboard!$A$11:$A$19</c:f>
              <c:numCache>
                <c:formatCode>d\-mmm</c:formatCode>
                <c:ptCount val="9"/>
                <c:pt idx="0">
                  <c:v>46048</c:v>
                </c:pt>
                <c:pt idx="1">
                  <c:v>46079</c:v>
                </c:pt>
                <c:pt idx="2">
                  <c:v>46107</c:v>
                </c:pt>
                <c:pt idx="3">
                  <c:v>46138</c:v>
                </c:pt>
                <c:pt idx="4">
                  <c:v>46168</c:v>
                </c:pt>
                <c:pt idx="5">
                  <c:v>46199</c:v>
                </c:pt>
                <c:pt idx="6">
                  <c:v>46229</c:v>
                </c:pt>
                <c:pt idx="7">
                  <c:v>46260</c:v>
                </c:pt>
                <c:pt idx="8">
                  <c:v>46291</c:v>
                </c:pt>
              </c:numCache>
            </c:numRef>
          </c:cat>
          <c:val>
            <c:numRef>
              <c:f>Dashboard!$D$11:$D$19</c:f>
              <c:numCache>
                <c:formatCode>_(* #,##0.00_);_(* \(#,##0.00\);_(* "-"??_);_(@_)</c:formatCode>
                <c:ptCount val="9"/>
                <c:pt idx="0">
                  <c:v>21500</c:v>
                </c:pt>
                <c:pt idx="1">
                  <c:v>800</c:v>
                </c:pt>
                <c:pt idx="2">
                  <c:v>-14000</c:v>
                </c:pt>
                <c:pt idx="3">
                  <c:v>0</c:v>
                </c:pt>
                <c:pt idx="4">
                  <c:v>-13200</c:v>
                </c:pt>
                <c:pt idx="5">
                  <c:v>23900</c:v>
                </c:pt>
                <c:pt idx="6">
                  <c:v>-5700</c:v>
                </c:pt>
                <c:pt idx="7">
                  <c:v>-9900</c:v>
                </c:pt>
                <c:pt idx="8">
                  <c:v>26100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0E-436D-A17B-F196759C7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975328"/>
        <c:axId val="67971968"/>
      </c:lineChart>
      <c:dateAx>
        <c:axId val="679753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71968"/>
        <c:crosses val="autoZero"/>
        <c:auto val="1"/>
        <c:lblOffset val="100"/>
        <c:baseTimeUnit val="months"/>
      </c:dateAx>
      <c:valAx>
        <c:axId val="6797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7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</a:t>
            </a:r>
            <a:r>
              <a:rPr lang="en-US" baseline="0"/>
              <a:t> vs Actual Spending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Dashboard!$B$32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Dashboard!$A$33:$A$38</c:f>
              <c:strCache>
                <c:ptCount val="6"/>
                <c:pt idx="0">
                  <c:v>Operations</c:v>
                </c:pt>
                <c:pt idx="1">
                  <c:v>Technology</c:v>
                </c:pt>
                <c:pt idx="2">
                  <c:v>Logistics</c:v>
                </c:pt>
                <c:pt idx="3">
                  <c:v>Administration</c:v>
                </c:pt>
                <c:pt idx="4">
                  <c:v>Salaries</c:v>
                </c:pt>
                <c:pt idx="5">
                  <c:v>Emergency Response</c:v>
                </c:pt>
              </c:strCache>
            </c:strRef>
          </c:cat>
          <c:val>
            <c:numRef>
              <c:f>Dashboard!$B$33:$B$38</c:f>
              <c:numCache>
                <c:formatCode>_(* #,##0.00_);_(* \(#,##0.00\);_(* "-"??_);_(@_)</c:formatCode>
                <c:ptCount val="6"/>
                <c:pt idx="0">
                  <c:v>317000</c:v>
                </c:pt>
                <c:pt idx="1">
                  <c:v>175000</c:v>
                </c:pt>
                <c:pt idx="2">
                  <c:v>465000</c:v>
                </c:pt>
                <c:pt idx="3">
                  <c:v>183000</c:v>
                </c:pt>
                <c:pt idx="4">
                  <c:v>273000</c:v>
                </c:pt>
                <c:pt idx="5">
                  <c:v>495000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27-4B16-8938-77948DCEEA8B}"/>
            </c:ext>
          </c:extLst>
        </c:ser>
        <c:ser>
          <c:idx val="1"/>
          <c:order val="1"/>
          <c:tx>
            <c:strRef>
              <c:f>Dashboard!$C$32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Dashboard!$A$33:$A$38</c:f>
              <c:strCache>
                <c:ptCount val="6"/>
                <c:pt idx="0">
                  <c:v>Operations</c:v>
                </c:pt>
                <c:pt idx="1">
                  <c:v>Technology</c:v>
                </c:pt>
                <c:pt idx="2">
                  <c:v>Logistics</c:v>
                </c:pt>
                <c:pt idx="3">
                  <c:v>Administration</c:v>
                </c:pt>
                <c:pt idx="4">
                  <c:v>Salaries</c:v>
                </c:pt>
                <c:pt idx="5">
                  <c:v>Emergency Response</c:v>
                </c:pt>
              </c:strCache>
            </c:strRef>
          </c:cat>
          <c:val>
            <c:numRef>
              <c:f>Dashboard!$C$33:$C$38</c:f>
              <c:numCache>
                <c:formatCode>_(* #,##0.00_);_(* \(#,##0.00\);_(* "-"??_);_(@_)</c:formatCode>
                <c:ptCount val="6"/>
                <c:pt idx="0">
                  <c:v>63300</c:v>
                </c:pt>
                <c:pt idx="1">
                  <c:v>70700</c:v>
                </c:pt>
                <c:pt idx="2">
                  <c:v>191800</c:v>
                </c:pt>
                <c:pt idx="3">
                  <c:v>18100</c:v>
                </c:pt>
                <c:pt idx="4">
                  <c:v>97000</c:v>
                </c:pt>
                <c:pt idx="5">
                  <c:v>210000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27-4B16-8938-77948DCEE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965248"/>
        <c:axId val="67955168"/>
      </c:barChart>
      <c:catAx>
        <c:axId val="6796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55168"/>
        <c:crosses val="autoZero"/>
        <c:auto val="1"/>
        <c:lblAlgn val="ctr"/>
        <c:lblOffset val="100"/>
        <c:noMultiLvlLbl val="0"/>
      </c:catAx>
      <c:valAx>
        <c:axId val="6795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6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Account</a:t>
            </a:r>
            <a:r>
              <a:rPr lang="en-US" baseline="0"/>
              <a:t> Inflow vs Outflow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Dashboard!$G$11</c:f>
              <c:strCache>
                <c:ptCount val="1"/>
                <c:pt idx="0">
                  <c:v>INFLOW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Dashboard!$F$12:$F$14</c:f>
              <c:strCache>
                <c:ptCount val="3"/>
                <c:pt idx="0">
                  <c:v>Main Account</c:v>
                </c:pt>
                <c:pt idx="1">
                  <c:v>Reserve Account</c:v>
                </c:pt>
                <c:pt idx="2">
                  <c:v>Operations Account</c:v>
                </c:pt>
              </c:strCache>
            </c:strRef>
          </c:cat>
          <c:val>
            <c:numRef>
              <c:f>Dashboard!$G$12:$G$14</c:f>
              <c:numCache>
                <c:formatCode>_(* #,##0.00_);_(* \(#,##0.00\);_(* "-"??_);_(@_)</c:formatCode>
                <c:ptCount val="3"/>
                <c:pt idx="0">
                  <c:v>312000</c:v>
                </c:pt>
                <c:pt idx="1">
                  <c:v>398500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A8-4E96-B4DD-A1E239969C92}"/>
            </c:ext>
          </c:extLst>
        </c:ser>
        <c:ser>
          <c:idx val="1"/>
          <c:order val="1"/>
          <c:tx>
            <c:strRef>
              <c:f>Dashboard!$H$11</c:f>
              <c:strCache>
                <c:ptCount val="1"/>
                <c:pt idx="0">
                  <c:v>OUTFLOW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Dashboard!$F$12:$F$14</c:f>
              <c:strCache>
                <c:ptCount val="3"/>
                <c:pt idx="0">
                  <c:v>Main Account</c:v>
                </c:pt>
                <c:pt idx="1">
                  <c:v>Reserve Account</c:v>
                </c:pt>
                <c:pt idx="2">
                  <c:v>Operations Account</c:v>
                </c:pt>
              </c:strCache>
            </c:strRef>
          </c:cat>
          <c:val>
            <c:numRef>
              <c:f>Dashboard!$H$12:$H$14</c:f>
              <c:numCache>
                <c:formatCode>_(* #,##0.00_);_(* \(#,##0.00\);_(* "-"??_);_(@_)</c:formatCode>
                <c:ptCount val="3"/>
                <c:pt idx="0">
                  <c:v>111200</c:v>
                </c:pt>
                <c:pt idx="1">
                  <c:v>66200</c:v>
                </c:pt>
                <c:pt idx="2">
                  <c:v>478000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A8-4E96-B4DD-A1E239969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5227999"/>
        <c:axId val="1865228959"/>
      </c:barChart>
      <c:catAx>
        <c:axId val="186522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228959"/>
        <c:crosses val="autoZero"/>
        <c:auto val="1"/>
        <c:lblAlgn val="ctr"/>
        <c:lblOffset val="100"/>
        <c:noMultiLvlLbl val="0"/>
      </c:catAx>
      <c:valAx>
        <c:axId val="186522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22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</xdr:colOff>
      <xdr:row>19</xdr:row>
      <xdr:rowOff>57150</xdr:rowOff>
    </xdr:from>
    <xdr:to>
      <xdr:col>6</xdr:col>
      <xdr:colOff>409575</xdr:colOff>
      <xdr:row>29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6441C8-E160-7149-5E30-D5AB0EB373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19</xdr:row>
      <xdr:rowOff>50800</xdr:rowOff>
    </xdr:from>
    <xdr:to>
      <xdr:col>14</xdr:col>
      <xdr:colOff>349250</xdr:colOff>
      <xdr:row>29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345E66-8BAD-3E1B-D879-F59480883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12700</xdr:colOff>
      <xdr:row>31</xdr:row>
      <xdr:rowOff>0</xdr:rowOff>
    </xdr:from>
    <xdr:to>
      <xdr:col>13</xdr:col>
      <xdr:colOff>530225</xdr:colOff>
      <xdr:row>41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14D594E-A4CD-3995-3865-E523BF8622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3175</xdr:colOff>
      <xdr:row>8</xdr:row>
      <xdr:rowOff>177800</xdr:rowOff>
    </xdr:from>
    <xdr:to>
      <xdr:col>14</xdr:col>
      <xdr:colOff>387350</xdr:colOff>
      <xdr:row>17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3497FD-1E63-49F7-0D9B-EB0DA6686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19E93-858E-4226-A072-A61745DA191A}">
  <dimension ref="A1:I66"/>
  <sheetViews>
    <sheetView tabSelected="1" workbookViewId="0">
      <selection activeCell="J2" sqref="J2"/>
    </sheetView>
  </sheetViews>
  <sheetFormatPr defaultRowHeight="14.5" x14ac:dyDescent="0.35"/>
  <cols>
    <col min="2" max="2" width="9.08984375" bestFit="1" customWidth="1"/>
  </cols>
  <sheetData>
    <row r="1" spans="1:9" ht="29" x14ac:dyDescent="0.35">
      <c r="A1" s="13" t="s">
        <v>109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5</v>
      </c>
      <c r="G1" s="7" t="s">
        <v>22</v>
      </c>
      <c r="H1" s="7" t="s">
        <v>23</v>
      </c>
      <c r="I1" s="7" t="s">
        <v>24</v>
      </c>
    </row>
    <row r="2" spans="1:9" x14ac:dyDescent="0.35">
      <c r="A2" s="10" t="s">
        <v>25</v>
      </c>
      <c r="B2" s="14">
        <v>46025</v>
      </c>
      <c r="C2" s="10" t="s">
        <v>26</v>
      </c>
      <c r="D2" s="10" t="s">
        <v>27</v>
      </c>
      <c r="E2" s="10" t="s">
        <v>19</v>
      </c>
      <c r="F2" s="10" t="s">
        <v>28</v>
      </c>
      <c r="G2" s="10">
        <v>25000</v>
      </c>
      <c r="H2" s="10" t="s">
        <v>29</v>
      </c>
      <c r="I2" s="10" t="s">
        <v>30</v>
      </c>
    </row>
    <row r="3" spans="1:9" x14ac:dyDescent="0.35">
      <c r="A3" s="10" t="s">
        <v>31</v>
      </c>
      <c r="B3" s="14">
        <v>46027</v>
      </c>
      <c r="C3" s="10" t="s">
        <v>32</v>
      </c>
      <c r="D3" s="10" t="s">
        <v>27</v>
      </c>
      <c r="E3" s="10" t="s">
        <v>20</v>
      </c>
      <c r="F3" s="10" t="s">
        <v>7</v>
      </c>
      <c r="G3" s="10">
        <v>8500</v>
      </c>
      <c r="H3" s="10" t="s">
        <v>29</v>
      </c>
      <c r="I3" s="10" t="s">
        <v>30</v>
      </c>
    </row>
    <row r="4" spans="1:9" x14ac:dyDescent="0.35">
      <c r="A4" s="10" t="s">
        <v>33</v>
      </c>
      <c r="B4" s="14">
        <v>46030</v>
      </c>
      <c r="C4" s="10" t="s">
        <v>34</v>
      </c>
      <c r="D4" s="10" t="s">
        <v>35</v>
      </c>
      <c r="E4" s="10" t="s">
        <v>19</v>
      </c>
      <c r="F4" s="10" t="s">
        <v>28</v>
      </c>
      <c r="G4" s="10">
        <v>18000</v>
      </c>
      <c r="H4" s="10" t="s">
        <v>36</v>
      </c>
      <c r="I4" s="10" t="s">
        <v>30</v>
      </c>
    </row>
    <row r="5" spans="1:9" x14ac:dyDescent="0.35">
      <c r="A5" s="10" t="s">
        <v>37</v>
      </c>
      <c r="B5" s="14">
        <v>46034</v>
      </c>
      <c r="C5" s="10" t="s">
        <v>26</v>
      </c>
      <c r="D5" s="10" t="s">
        <v>27</v>
      </c>
      <c r="E5" s="10" t="s">
        <v>20</v>
      </c>
      <c r="F5" s="10" t="s">
        <v>8</v>
      </c>
      <c r="G5" s="10">
        <v>4200</v>
      </c>
      <c r="H5" s="10" t="s">
        <v>29</v>
      </c>
      <c r="I5" s="10" t="s">
        <v>30</v>
      </c>
    </row>
    <row r="6" spans="1:9" x14ac:dyDescent="0.35">
      <c r="A6" s="10" t="s">
        <v>38</v>
      </c>
      <c r="B6" s="14">
        <v>46037</v>
      </c>
      <c r="C6" s="10" t="s">
        <v>39</v>
      </c>
      <c r="D6" s="10" t="s">
        <v>27</v>
      </c>
      <c r="E6" s="10" t="s">
        <v>20</v>
      </c>
      <c r="F6" s="10" t="s">
        <v>9</v>
      </c>
      <c r="G6" s="10">
        <v>12500</v>
      </c>
      <c r="H6" s="10" t="s">
        <v>40</v>
      </c>
      <c r="I6" s="10" t="s">
        <v>30</v>
      </c>
    </row>
    <row r="7" spans="1:9" x14ac:dyDescent="0.35">
      <c r="A7" s="10" t="s">
        <v>41</v>
      </c>
      <c r="B7" s="14">
        <v>46040</v>
      </c>
      <c r="C7" s="10" t="s">
        <v>42</v>
      </c>
      <c r="D7" s="10" t="s">
        <v>35</v>
      </c>
      <c r="E7" s="10" t="s">
        <v>19</v>
      </c>
      <c r="F7" s="10" t="s">
        <v>28</v>
      </c>
      <c r="G7" s="10">
        <v>22000</v>
      </c>
      <c r="H7" s="10" t="s">
        <v>36</v>
      </c>
      <c r="I7" s="10" t="s">
        <v>30</v>
      </c>
    </row>
    <row r="8" spans="1:9" x14ac:dyDescent="0.35">
      <c r="A8" s="10" t="s">
        <v>43</v>
      </c>
      <c r="B8" s="14">
        <v>46044</v>
      </c>
      <c r="C8" s="10" t="s">
        <v>26</v>
      </c>
      <c r="D8" s="10" t="s">
        <v>27</v>
      </c>
      <c r="E8" s="10" t="s">
        <v>20</v>
      </c>
      <c r="F8" s="10" t="s">
        <v>10</v>
      </c>
      <c r="G8" s="10">
        <v>3800</v>
      </c>
      <c r="H8" s="10" t="s">
        <v>29</v>
      </c>
      <c r="I8" s="10" t="s">
        <v>44</v>
      </c>
    </row>
    <row r="9" spans="1:9" x14ac:dyDescent="0.35">
      <c r="A9" s="10" t="s">
        <v>45</v>
      </c>
      <c r="B9" s="14">
        <v>46049</v>
      </c>
      <c r="C9" s="10" t="s">
        <v>32</v>
      </c>
      <c r="D9" s="10" t="s">
        <v>27</v>
      </c>
      <c r="E9" s="10" t="s">
        <v>20</v>
      </c>
      <c r="F9" s="10" t="s">
        <v>11</v>
      </c>
      <c r="G9" s="10">
        <v>14500</v>
      </c>
      <c r="H9" s="10" t="s">
        <v>40</v>
      </c>
      <c r="I9" s="10" t="s">
        <v>30</v>
      </c>
    </row>
    <row r="10" spans="1:9" x14ac:dyDescent="0.35">
      <c r="A10" s="10" t="s">
        <v>46</v>
      </c>
      <c r="B10" s="14">
        <v>46055</v>
      </c>
      <c r="C10" s="10" t="s">
        <v>26</v>
      </c>
      <c r="D10" s="10" t="s">
        <v>27</v>
      </c>
      <c r="E10" s="10" t="s">
        <v>19</v>
      </c>
      <c r="F10" s="10" t="s">
        <v>28</v>
      </c>
      <c r="G10" s="10">
        <v>30000</v>
      </c>
      <c r="H10" s="10" t="s">
        <v>29</v>
      </c>
      <c r="I10" s="10" t="s">
        <v>30</v>
      </c>
    </row>
    <row r="11" spans="1:9" x14ac:dyDescent="0.35">
      <c r="A11" s="10" t="s">
        <v>47</v>
      </c>
      <c r="B11" s="14">
        <v>46058</v>
      </c>
      <c r="C11" s="10" t="s">
        <v>48</v>
      </c>
      <c r="D11" s="10" t="s">
        <v>27</v>
      </c>
      <c r="E11" s="10" t="s">
        <v>20</v>
      </c>
      <c r="F11" s="10" t="s">
        <v>12</v>
      </c>
      <c r="G11" s="10">
        <v>19000</v>
      </c>
      <c r="H11" s="10" t="s">
        <v>40</v>
      </c>
      <c r="I11" s="10" t="s">
        <v>30</v>
      </c>
    </row>
    <row r="12" spans="1:9" x14ac:dyDescent="0.35">
      <c r="A12" s="10" t="s">
        <v>49</v>
      </c>
      <c r="B12" s="14">
        <v>46062</v>
      </c>
      <c r="C12" s="10" t="s">
        <v>34</v>
      </c>
      <c r="D12" s="10" t="s">
        <v>35</v>
      </c>
      <c r="E12" s="10" t="s">
        <v>20</v>
      </c>
      <c r="F12" s="10" t="s">
        <v>8</v>
      </c>
      <c r="G12" s="10">
        <v>7200</v>
      </c>
      <c r="H12" s="10" t="s">
        <v>36</v>
      </c>
      <c r="I12" s="10" t="s">
        <v>30</v>
      </c>
    </row>
    <row r="13" spans="1:9" x14ac:dyDescent="0.35">
      <c r="A13" s="10" t="s">
        <v>50</v>
      </c>
      <c r="B13" s="14">
        <v>46066</v>
      </c>
      <c r="C13" s="10" t="s">
        <v>39</v>
      </c>
      <c r="D13" s="10" t="s">
        <v>27</v>
      </c>
      <c r="E13" s="10" t="s">
        <v>20</v>
      </c>
      <c r="F13" s="10" t="s">
        <v>9</v>
      </c>
      <c r="G13" s="10">
        <v>16800</v>
      </c>
      <c r="H13" s="10" t="s">
        <v>40</v>
      </c>
      <c r="I13" s="10" t="s">
        <v>30</v>
      </c>
    </row>
    <row r="14" spans="1:9" x14ac:dyDescent="0.35">
      <c r="A14" s="10" t="s">
        <v>51</v>
      </c>
      <c r="B14" s="14">
        <v>46070</v>
      </c>
      <c r="C14" s="10" t="s">
        <v>42</v>
      </c>
      <c r="D14" s="10" t="s">
        <v>35</v>
      </c>
      <c r="E14" s="10" t="s">
        <v>19</v>
      </c>
      <c r="F14" s="10" t="s">
        <v>28</v>
      </c>
      <c r="G14" s="10">
        <v>27500</v>
      </c>
      <c r="H14" s="10" t="s">
        <v>36</v>
      </c>
      <c r="I14" s="10" t="s">
        <v>30</v>
      </c>
    </row>
    <row r="15" spans="1:9" x14ac:dyDescent="0.35">
      <c r="A15" s="10" t="s">
        <v>52</v>
      </c>
      <c r="B15" s="14">
        <v>46074</v>
      </c>
      <c r="C15" s="10" t="s">
        <v>26</v>
      </c>
      <c r="D15" s="10" t="s">
        <v>27</v>
      </c>
      <c r="E15" s="10" t="s">
        <v>20</v>
      </c>
      <c r="F15" s="10" t="s">
        <v>53</v>
      </c>
      <c r="G15" s="10">
        <v>4500</v>
      </c>
      <c r="H15" s="10" t="s">
        <v>29</v>
      </c>
      <c r="I15" s="10" t="s">
        <v>30</v>
      </c>
    </row>
    <row r="16" spans="1:9" x14ac:dyDescent="0.35">
      <c r="A16" s="10" t="s">
        <v>54</v>
      </c>
      <c r="B16" s="14">
        <v>46079</v>
      </c>
      <c r="C16" s="10" t="s">
        <v>32</v>
      </c>
      <c r="D16" s="10" t="s">
        <v>27</v>
      </c>
      <c r="E16" s="10" t="s">
        <v>20</v>
      </c>
      <c r="F16" s="10" t="s">
        <v>7</v>
      </c>
      <c r="G16" s="10">
        <v>9200</v>
      </c>
      <c r="H16" s="10" t="s">
        <v>29</v>
      </c>
      <c r="I16" s="10" t="s">
        <v>44</v>
      </c>
    </row>
    <row r="17" spans="1:9" x14ac:dyDescent="0.35">
      <c r="A17" s="10" t="s">
        <v>55</v>
      </c>
      <c r="B17" s="14">
        <v>46084</v>
      </c>
      <c r="C17" s="10" t="s">
        <v>26</v>
      </c>
      <c r="D17" s="10" t="s">
        <v>27</v>
      </c>
      <c r="E17" s="10" t="s">
        <v>19</v>
      </c>
      <c r="F17" s="10" t="s">
        <v>28</v>
      </c>
      <c r="G17" s="10">
        <v>35000</v>
      </c>
      <c r="H17" s="10" t="s">
        <v>29</v>
      </c>
      <c r="I17" s="10" t="s">
        <v>30</v>
      </c>
    </row>
    <row r="18" spans="1:9" x14ac:dyDescent="0.35">
      <c r="A18" s="10" t="s">
        <v>56</v>
      </c>
      <c r="B18" s="14">
        <v>46087</v>
      </c>
      <c r="C18" s="10" t="s">
        <v>39</v>
      </c>
      <c r="D18" s="10" t="s">
        <v>27</v>
      </c>
      <c r="E18" s="10" t="s">
        <v>20</v>
      </c>
      <c r="F18" s="10" t="s">
        <v>12</v>
      </c>
      <c r="G18" s="10">
        <v>24000</v>
      </c>
      <c r="H18" s="10" t="s">
        <v>40</v>
      </c>
      <c r="I18" s="10" t="s">
        <v>30</v>
      </c>
    </row>
    <row r="19" spans="1:9" x14ac:dyDescent="0.35">
      <c r="A19" s="10" t="s">
        <v>57</v>
      </c>
      <c r="B19" s="14">
        <v>46091</v>
      </c>
      <c r="C19" s="10" t="s">
        <v>58</v>
      </c>
      <c r="D19" s="10" t="s">
        <v>59</v>
      </c>
      <c r="E19" s="10" t="s">
        <v>19</v>
      </c>
      <c r="F19" s="10" t="s">
        <v>28</v>
      </c>
      <c r="G19" s="10">
        <v>20000</v>
      </c>
      <c r="H19" s="10" t="s">
        <v>36</v>
      </c>
      <c r="I19" s="10" t="s">
        <v>30</v>
      </c>
    </row>
    <row r="20" spans="1:9" x14ac:dyDescent="0.35">
      <c r="A20" s="10" t="s">
        <v>60</v>
      </c>
      <c r="B20" s="14">
        <v>46095</v>
      </c>
      <c r="C20" s="10" t="s">
        <v>26</v>
      </c>
      <c r="D20" s="10" t="s">
        <v>27</v>
      </c>
      <c r="E20" s="10" t="s">
        <v>20</v>
      </c>
      <c r="F20" s="10" t="s">
        <v>8</v>
      </c>
      <c r="G20" s="10">
        <v>6500</v>
      </c>
      <c r="H20" s="10" t="s">
        <v>29</v>
      </c>
      <c r="I20" s="10" t="s">
        <v>30</v>
      </c>
    </row>
    <row r="21" spans="1:9" x14ac:dyDescent="0.35">
      <c r="A21" s="10" t="s">
        <v>61</v>
      </c>
      <c r="B21" s="14">
        <v>46100</v>
      </c>
      <c r="C21" s="10" t="s">
        <v>48</v>
      </c>
      <c r="D21" s="10" t="s">
        <v>27</v>
      </c>
      <c r="E21" s="10" t="s">
        <v>20</v>
      </c>
      <c r="F21" s="10" t="s">
        <v>9</v>
      </c>
      <c r="G21" s="10">
        <v>18200</v>
      </c>
      <c r="H21" s="10" t="s">
        <v>40</v>
      </c>
      <c r="I21" s="10" t="s">
        <v>30</v>
      </c>
    </row>
    <row r="22" spans="1:9" x14ac:dyDescent="0.35">
      <c r="A22" s="10" t="s">
        <v>62</v>
      </c>
      <c r="B22" s="14">
        <v>46105</v>
      </c>
      <c r="C22" s="10" t="s">
        <v>32</v>
      </c>
      <c r="D22" s="10" t="s">
        <v>27</v>
      </c>
      <c r="E22" s="10" t="s">
        <v>20</v>
      </c>
      <c r="F22" s="10" t="s">
        <v>11</v>
      </c>
      <c r="G22" s="10">
        <v>15200</v>
      </c>
      <c r="H22" s="10" t="s">
        <v>40</v>
      </c>
      <c r="I22" s="10" t="s">
        <v>30</v>
      </c>
    </row>
    <row r="23" spans="1:9" x14ac:dyDescent="0.35">
      <c r="A23" s="10" t="s">
        <v>63</v>
      </c>
      <c r="B23" s="14">
        <v>46109</v>
      </c>
      <c r="C23" s="10" t="s">
        <v>34</v>
      </c>
      <c r="D23" s="10" t="s">
        <v>35</v>
      </c>
      <c r="E23" s="10" t="s">
        <v>20</v>
      </c>
      <c r="F23" s="10" t="s">
        <v>10</v>
      </c>
      <c r="G23" s="10">
        <v>5100</v>
      </c>
      <c r="H23" s="10" t="s">
        <v>36</v>
      </c>
      <c r="I23" s="10" t="s">
        <v>30</v>
      </c>
    </row>
    <row r="24" spans="1:9" x14ac:dyDescent="0.35">
      <c r="A24" s="10" t="s">
        <v>64</v>
      </c>
      <c r="B24" s="14">
        <v>46114</v>
      </c>
      <c r="C24" s="10" t="s">
        <v>26</v>
      </c>
      <c r="D24" s="10" t="s">
        <v>27</v>
      </c>
      <c r="E24" s="10" t="s">
        <v>19</v>
      </c>
      <c r="F24" s="10" t="s">
        <v>28</v>
      </c>
      <c r="G24" s="10">
        <v>28000</v>
      </c>
      <c r="H24" s="10" t="s">
        <v>29</v>
      </c>
      <c r="I24" s="10" t="s">
        <v>30</v>
      </c>
    </row>
    <row r="25" spans="1:9" x14ac:dyDescent="0.35">
      <c r="A25" s="10" t="s">
        <v>65</v>
      </c>
      <c r="B25" s="14">
        <v>46117</v>
      </c>
      <c r="C25" s="10" t="s">
        <v>32</v>
      </c>
      <c r="D25" s="10" t="s">
        <v>27</v>
      </c>
      <c r="E25" s="10" t="s">
        <v>20</v>
      </c>
      <c r="F25" s="10" t="s">
        <v>12</v>
      </c>
      <c r="G25" s="10">
        <v>21500</v>
      </c>
      <c r="H25" s="10" t="s">
        <v>40</v>
      </c>
      <c r="I25" s="10" t="s">
        <v>30</v>
      </c>
    </row>
    <row r="26" spans="1:9" x14ac:dyDescent="0.35">
      <c r="A26" s="10" t="s">
        <v>66</v>
      </c>
      <c r="B26" s="14">
        <v>46121</v>
      </c>
      <c r="C26" s="10" t="s">
        <v>42</v>
      </c>
      <c r="D26" s="10" t="s">
        <v>35</v>
      </c>
      <c r="E26" s="10" t="s">
        <v>19</v>
      </c>
      <c r="F26" s="10" t="s">
        <v>28</v>
      </c>
      <c r="G26" s="10">
        <v>32000</v>
      </c>
      <c r="H26" s="10" t="s">
        <v>36</v>
      </c>
      <c r="I26" s="10" t="s">
        <v>30</v>
      </c>
    </row>
    <row r="27" spans="1:9" x14ac:dyDescent="0.35">
      <c r="A27" s="10" t="s">
        <v>67</v>
      </c>
      <c r="B27" s="14">
        <v>46125</v>
      </c>
      <c r="C27" s="10" t="s">
        <v>39</v>
      </c>
      <c r="D27" s="10" t="s">
        <v>27</v>
      </c>
      <c r="E27" s="10" t="s">
        <v>20</v>
      </c>
      <c r="F27" s="10" t="s">
        <v>9</v>
      </c>
      <c r="G27" s="10">
        <v>20500</v>
      </c>
      <c r="H27" s="10" t="s">
        <v>40</v>
      </c>
      <c r="I27" s="10" t="s">
        <v>30</v>
      </c>
    </row>
    <row r="28" spans="1:9" x14ac:dyDescent="0.35">
      <c r="A28" s="10" t="s">
        <v>68</v>
      </c>
      <c r="B28" s="14">
        <v>46130</v>
      </c>
      <c r="C28" s="10" t="s">
        <v>26</v>
      </c>
      <c r="D28" s="10" t="s">
        <v>27</v>
      </c>
      <c r="E28" s="10" t="s">
        <v>20</v>
      </c>
      <c r="F28" s="10" t="s">
        <v>7</v>
      </c>
      <c r="G28" s="10">
        <v>7800</v>
      </c>
      <c r="H28" s="10" t="s">
        <v>29</v>
      </c>
      <c r="I28" s="10" t="s">
        <v>30</v>
      </c>
    </row>
    <row r="29" spans="1:9" x14ac:dyDescent="0.35">
      <c r="A29" s="10" t="s">
        <v>69</v>
      </c>
      <c r="B29" s="14">
        <v>46135</v>
      </c>
      <c r="C29" s="10" t="s">
        <v>48</v>
      </c>
      <c r="D29" s="10" t="s">
        <v>27</v>
      </c>
      <c r="E29" s="10" t="s">
        <v>20</v>
      </c>
      <c r="F29" s="10" t="s">
        <v>8</v>
      </c>
      <c r="G29" s="10">
        <v>8800</v>
      </c>
      <c r="H29" s="10" t="s">
        <v>29</v>
      </c>
      <c r="I29" s="10" t="s">
        <v>44</v>
      </c>
    </row>
    <row r="30" spans="1:9" x14ac:dyDescent="0.35">
      <c r="A30" s="10" t="s">
        <v>70</v>
      </c>
      <c r="B30" s="14">
        <v>46140</v>
      </c>
      <c r="C30" s="10" t="s">
        <v>71</v>
      </c>
      <c r="D30" s="10" t="s">
        <v>27</v>
      </c>
      <c r="E30" s="10" t="s">
        <v>19</v>
      </c>
      <c r="F30" s="10" t="s">
        <v>28</v>
      </c>
      <c r="G30" s="10">
        <v>40000</v>
      </c>
      <c r="H30" s="10" t="s">
        <v>36</v>
      </c>
      <c r="I30" s="10" t="s">
        <v>30</v>
      </c>
    </row>
    <row r="31" spans="1:9" x14ac:dyDescent="0.35">
      <c r="A31" s="10" t="s">
        <v>72</v>
      </c>
      <c r="B31" s="14">
        <v>46142</v>
      </c>
      <c r="C31" s="10" t="s">
        <v>32</v>
      </c>
      <c r="D31" s="10" t="s">
        <v>27</v>
      </c>
      <c r="E31" s="10" t="s">
        <v>20</v>
      </c>
      <c r="F31" s="10" t="s">
        <v>11</v>
      </c>
      <c r="G31" s="10">
        <v>15800</v>
      </c>
      <c r="H31" s="10" t="s">
        <v>40</v>
      </c>
      <c r="I31" s="10" t="s">
        <v>30</v>
      </c>
    </row>
    <row r="32" spans="1:9" x14ac:dyDescent="0.35">
      <c r="A32" s="10" t="s">
        <v>73</v>
      </c>
      <c r="B32" s="14">
        <v>46145</v>
      </c>
      <c r="C32" s="10" t="s">
        <v>26</v>
      </c>
      <c r="D32" s="10" t="s">
        <v>27</v>
      </c>
      <c r="E32" s="10" t="s">
        <v>19</v>
      </c>
      <c r="F32" s="10" t="s">
        <v>28</v>
      </c>
      <c r="G32" s="10">
        <v>32000</v>
      </c>
      <c r="H32" s="10" t="s">
        <v>29</v>
      </c>
      <c r="I32" s="10" t="s">
        <v>30</v>
      </c>
    </row>
    <row r="33" spans="1:9" x14ac:dyDescent="0.35">
      <c r="A33" s="10" t="s">
        <v>74</v>
      </c>
      <c r="B33" s="14">
        <v>46149</v>
      </c>
      <c r="C33" s="10" t="s">
        <v>39</v>
      </c>
      <c r="D33" s="10" t="s">
        <v>27</v>
      </c>
      <c r="E33" s="10" t="s">
        <v>20</v>
      </c>
      <c r="F33" s="10" t="s">
        <v>12</v>
      </c>
      <c r="G33" s="10">
        <v>27000</v>
      </c>
      <c r="H33" s="10" t="s">
        <v>40</v>
      </c>
      <c r="I33" s="10" t="s">
        <v>30</v>
      </c>
    </row>
    <row r="34" spans="1:9" x14ac:dyDescent="0.35">
      <c r="A34" s="10" t="s">
        <v>75</v>
      </c>
      <c r="B34" s="14">
        <v>46153</v>
      </c>
      <c r="C34" s="10" t="s">
        <v>34</v>
      </c>
      <c r="D34" s="10" t="s">
        <v>35</v>
      </c>
      <c r="E34" s="10" t="s">
        <v>20</v>
      </c>
      <c r="F34" s="10" t="s">
        <v>8</v>
      </c>
      <c r="G34" s="10">
        <v>9400</v>
      </c>
      <c r="H34" s="10" t="s">
        <v>36</v>
      </c>
      <c r="I34" s="10" t="s">
        <v>30</v>
      </c>
    </row>
    <row r="35" spans="1:9" x14ac:dyDescent="0.35">
      <c r="A35" s="10" t="s">
        <v>76</v>
      </c>
      <c r="B35" s="14">
        <v>46157</v>
      </c>
      <c r="C35" s="10" t="s">
        <v>32</v>
      </c>
      <c r="D35" s="10" t="s">
        <v>27</v>
      </c>
      <c r="E35" s="10" t="s">
        <v>20</v>
      </c>
      <c r="F35" s="10" t="s">
        <v>9</v>
      </c>
      <c r="G35" s="10">
        <v>22000</v>
      </c>
      <c r="H35" s="10" t="s">
        <v>40</v>
      </c>
      <c r="I35" s="10" t="s">
        <v>30</v>
      </c>
    </row>
    <row r="36" spans="1:9" x14ac:dyDescent="0.35">
      <c r="A36" s="10" t="s">
        <v>77</v>
      </c>
      <c r="B36" s="14">
        <v>46161</v>
      </c>
      <c r="C36" s="10" t="s">
        <v>42</v>
      </c>
      <c r="D36" s="10" t="s">
        <v>35</v>
      </c>
      <c r="E36" s="10" t="s">
        <v>19</v>
      </c>
      <c r="F36" s="10" t="s">
        <v>28</v>
      </c>
      <c r="G36" s="10">
        <v>29000</v>
      </c>
      <c r="H36" s="10" t="s">
        <v>36</v>
      </c>
      <c r="I36" s="10" t="s">
        <v>30</v>
      </c>
    </row>
    <row r="37" spans="1:9" x14ac:dyDescent="0.35">
      <c r="A37" s="10" t="s">
        <v>78</v>
      </c>
      <c r="B37" s="14">
        <v>46165</v>
      </c>
      <c r="C37" s="10" t="s">
        <v>26</v>
      </c>
      <c r="D37" s="10" t="s">
        <v>27</v>
      </c>
      <c r="E37" s="10" t="s">
        <v>20</v>
      </c>
      <c r="F37" s="10" t="s">
        <v>10</v>
      </c>
      <c r="G37" s="10">
        <v>4300</v>
      </c>
      <c r="H37" s="10" t="s">
        <v>29</v>
      </c>
      <c r="I37" s="10" t="s">
        <v>30</v>
      </c>
    </row>
    <row r="38" spans="1:9" x14ac:dyDescent="0.35">
      <c r="A38" s="10" t="s">
        <v>79</v>
      </c>
      <c r="B38" s="14">
        <v>46169</v>
      </c>
      <c r="C38" s="10" t="s">
        <v>48</v>
      </c>
      <c r="D38" s="10" t="s">
        <v>27</v>
      </c>
      <c r="E38" s="10" t="s">
        <v>20</v>
      </c>
      <c r="F38" s="10" t="s">
        <v>7</v>
      </c>
      <c r="G38" s="10">
        <v>11500</v>
      </c>
      <c r="H38" s="10" t="s">
        <v>29</v>
      </c>
      <c r="I38" s="10" t="s">
        <v>44</v>
      </c>
    </row>
    <row r="39" spans="1:9" x14ac:dyDescent="0.35">
      <c r="A39" s="10" t="s">
        <v>80</v>
      </c>
      <c r="B39" s="14">
        <v>46175</v>
      </c>
      <c r="C39" s="10" t="s">
        <v>26</v>
      </c>
      <c r="D39" s="10" t="s">
        <v>27</v>
      </c>
      <c r="E39" s="10" t="s">
        <v>19</v>
      </c>
      <c r="F39" s="10" t="s">
        <v>28</v>
      </c>
      <c r="G39" s="10">
        <v>37000</v>
      </c>
      <c r="H39" s="10" t="s">
        <v>29</v>
      </c>
      <c r="I39" s="10" t="s">
        <v>30</v>
      </c>
    </row>
    <row r="40" spans="1:9" x14ac:dyDescent="0.35">
      <c r="A40" s="10" t="s">
        <v>81</v>
      </c>
      <c r="B40" s="14">
        <v>46179</v>
      </c>
      <c r="C40" s="10" t="s">
        <v>32</v>
      </c>
      <c r="D40" s="10" t="s">
        <v>27</v>
      </c>
      <c r="E40" s="10" t="s">
        <v>20</v>
      </c>
      <c r="F40" s="10" t="s">
        <v>12</v>
      </c>
      <c r="G40" s="10">
        <v>25000</v>
      </c>
      <c r="H40" s="10" t="s">
        <v>40</v>
      </c>
      <c r="I40" s="10" t="s">
        <v>30</v>
      </c>
    </row>
    <row r="41" spans="1:9" x14ac:dyDescent="0.35">
      <c r="A41" s="10" t="s">
        <v>82</v>
      </c>
      <c r="B41" s="14">
        <v>46183</v>
      </c>
      <c r="C41" s="10" t="s">
        <v>58</v>
      </c>
      <c r="D41" s="10" t="s">
        <v>59</v>
      </c>
      <c r="E41" s="10" t="s">
        <v>19</v>
      </c>
      <c r="F41" s="10" t="s">
        <v>28</v>
      </c>
      <c r="G41" s="10">
        <v>24000</v>
      </c>
      <c r="H41" s="10" t="s">
        <v>36</v>
      </c>
      <c r="I41" s="10" t="s">
        <v>30</v>
      </c>
    </row>
    <row r="42" spans="1:9" x14ac:dyDescent="0.35">
      <c r="A42" s="10" t="s">
        <v>83</v>
      </c>
      <c r="B42" s="14">
        <v>46187</v>
      </c>
      <c r="C42" s="10" t="s">
        <v>39</v>
      </c>
      <c r="D42" s="10" t="s">
        <v>27</v>
      </c>
      <c r="E42" s="10" t="s">
        <v>20</v>
      </c>
      <c r="F42" s="10" t="s">
        <v>9</v>
      </c>
      <c r="G42" s="10">
        <v>23500</v>
      </c>
      <c r="H42" s="10" t="s">
        <v>40</v>
      </c>
      <c r="I42" s="10" t="s">
        <v>30</v>
      </c>
    </row>
    <row r="43" spans="1:9" x14ac:dyDescent="0.35">
      <c r="A43" s="10" t="s">
        <v>84</v>
      </c>
      <c r="B43" s="14">
        <v>46191</v>
      </c>
      <c r="C43" s="10" t="s">
        <v>26</v>
      </c>
      <c r="D43" s="10" t="s">
        <v>27</v>
      </c>
      <c r="E43" s="10" t="s">
        <v>20</v>
      </c>
      <c r="F43" s="10" t="s">
        <v>8</v>
      </c>
      <c r="G43" s="10">
        <v>7100</v>
      </c>
      <c r="H43" s="10" t="s">
        <v>29</v>
      </c>
      <c r="I43" s="10" t="s">
        <v>30</v>
      </c>
    </row>
    <row r="44" spans="1:9" x14ac:dyDescent="0.35">
      <c r="A44" s="10" t="s">
        <v>85</v>
      </c>
      <c r="B44" s="14">
        <v>46195</v>
      </c>
      <c r="C44" s="10" t="s">
        <v>34</v>
      </c>
      <c r="D44" s="10" t="s">
        <v>35</v>
      </c>
      <c r="E44" s="10" t="s">
        <v>20</v>
      </c>
      <c r="F44" s="10" t="s">
        <v>11</v>
      </c>
      <c r="G44" s="10">
        <v>16500</v>
      </c>
      <c r="H44" s="10" t="s">
        <v>36</v>
      </c>
      <c r="I44" s="10" t="s">
        <v>30</v>
      </c>
    </row>
    <row r="45" spans="1:9" x14ac:dyDescent="0.35">
      <c r="A45" s="10" t="s">
        <v>86</v>
      </c>
      <c r="B45" s="14">
        <v>46200</v>
      </c>
      <c r="C45" s="10" t="s">
        <v>42</v>
      </c>
      <c r="D45" s="10" t="s">
        <v>35</v>
      </c>
      <c r="E45" s="10" t="s">
        <v>19</v>
      </c>
      <c r="F45" s="10" t="s">
        <v>28</v>
      </c>
      <c r="G45" s="10">
        <v>35000</v>
      </c>
      <c r="H45" s="10" t="s">
        <v>36</v>
      </c>
      <c r="I45" s="10" t="s">
        <v>30</v>
      </c>
    </row>
    <row r="46" spans="1:9" x14ac:dyDescent="0.35">
      <c r="A46" s="10" t="s">
        <v>87</v>
      </c>
      <c r="B46" s="14">
        <v>46206</v>
      </c>
      <c r="C46" s="10" t="s">
        <v>26</v>
      </c>
      <c r="D46" s="10" t="s">
        <v>27</v>
      </c>
      <c r="E46" s="10" t="s">
        <v>19</v>
      </c>
      <c r="F46" s="10" t="s">
        <v>28</v>
      </c>
      <c r="G46" s="10">
        <v>42000</v>
      </c>
      <c r="H46" s="10" t="s">
        <v>29</v>
      </c>
      <c r="I46" s="10" t="s">
        <v>30</v>
      </c>
    </row>
    <row r="47" spans="1:9" x14ac:dyDescent="0.35">
      <c r="A47" s="10" t="s">
        <v>88</v>
      </c>
      <c r="B47" s="14">
        <v>46210</v>
      </c>
      <c r="C47" s="10" t="s">
        <v>48</v>
      </c>
      <c r="D47" s="10" t="s">
        <v>27</v>
      </c>
      <c r="E47" s="10" t="s">
        <v>20</v>
      </c>
      <c r="F47" s="10" t="s">
        <v>12</v>
      </c>
      <c r="G47" s="10">
        <v>29000</v>
      </c>
      <c r="H47" s="10" t="s">
        <v>40</v>
      </c>
      <c r="I47" s="10" t="s">
        <v>30</v>
      </c>
    </row>
    <row r="48" spans="1:9" x14ac:dyDescent="0.35">
      <c r="A48" s="10" t="s">
        <v>89</v>
      </c>
      <c r="B48" s="14">
        <v>46214</v>
      </c>
      <c r="C48" s="10" t="s">
        <v>32</v>
      </c>
      <c r="D48" s="10" t="s">
        <v>27</v>
      </c>
      <c r="E48" s="10" t="s">
        <v>20</v>
      </c>
      <c r="F48" s="10" t="s">
        <v>9</v>
      </c>
      <c r="G48" s="10">
        <v>24800</v>
      </c>
      <c r="H48" s="10" t="s">
        <v>40</v>
      </c>
      <c r="I48" s="10" t="s">
        <v>30</v>
      </c>
    </row>
    <row r="49" spans="1:9" x14ac:dyDescent="0.35">
      <c r="A49" s="10" t="s">
        <v>90</v>
      </c>
      <c r="B49" s="14">
        <v>46218</v>
      </c>
      <c r="C49" s="10" t="s">
        <v>71</v>
      </c>
      <c r="D49" s="10" t="s">
        <v>27</v>
      </c>
      <c r="E49" s="10" t="s">
        <v>19</v>
      </c>
      <c r="F49" s="10" t="s">
        <v>28</v>
      </c>
      <c r="G49" s="10">
        <v>45000</v>
      </c>
      <c r="H49" s="10" t="s">
        <v>36</v>
      </c>
      <c r="I49" s="10" t="s">
        <v>30</v>
      </c>
    </row>
    <row r="50" spans="1:9" x14ac:dyDescent="0.35">
      <c r="A50" s="10" t="s">
        <v>91</v>
      </c>
      <c r="B50" s="14">
        <v>46222</v>
      </c>
      <c r="C50" s="10" t="s">
        <v>26</v>
      </c>
      <c r="D50" s="10" t="s">
        <v>27</v>
      </c>
      <c r="E50" s="10" t="s">
        <v>20</v>
      </c>
      <c r="F50" s="10" t="s">
        <v>8</v>
      </c>
      <c r="G50" s="10">
        <v>8200</v>
      </c>
      <c r="H50" s="10" t="s">
        <v>29</v>
      </c>
      <c r="I50" s="10" t="s">
        <v>30</v>
      </c>
    </row>
    <row r="51" spans="1:9" x14ac:dyDescent="0.35">
      <c r="A51" s="10" t="s">
        <v>92</v>
      </c>
      <c r="B51" s="14">
        <v>46226</v>
      </c>
      <c r="C51" s="10" t="s">
        <v>39</v>
      </c>
      <c r="D51" s="10" t="s">
        <v>27</v>
      </c>
      <c r="E51" s="10" t="s">
        <v>20</v>
      </c>
      <c r="F51" s="10" t="s">
        <v>7</v>
      </c>
      <c r="G51" s="10">
        <v>13500</v>
      </c>
      <c r="H51" s="10" t="s">
        <v>40</v>
      </c>
      <c r="I51" s="10" t="s">
        <v>44</v>
      </c>
    </row>
    <row r="52" spans="1:9" x14ac:dyDescent="0.35">
      <c r="A52" s="10" t="s">
        <v>93</v>
      </c>
      <c r="B52" s="14">
        <v>46231</v>
      </c>
      <c r="C52" s="10" t="s">
        <v>32</v>
      </c>
      <c r="D52" s="10" t="s">
        <v>27</v>
      </c>
      <c r="E52" s="10" t="s">
        <v>20</v>
      </c>
      <c r="F52" s="10" t="s">
        <v>11</v>
      </c>
      <c r="G52" s="10">
        <v>17200</v>
      </c>
      <c r="H52" s="10" t="s">
        <v>40</v>
      </c>
      <c r="I52" s="10" t="s">
        <v>30</v>
      </c>
    </row>
    <row r="53" spans="1:9" x14ac:dyDescent="0.35">
      <c r="A53" s="10" t="s">
        <v>94</v>
      </c>
      <c r="B53" s="14">
        <v>46236</v>
      </c>
      <c r="C53" s="10" t="s">
        <v>26</v>
      </c>
      <c r="D53" s="10" t="s">
        <v>27</v>
      </c>
      <c r="E53" s="10" t="s">
        <v>19</v>
      </c>
      <c r="F53" s="10" t="s">
        <v>28</v>
      </c>
      <c r="G53" s="10">
        <v>38000</v>
      </c>
      <c r="H53" s="10" t="s">
        <v>29</v>
      </c>
      <c r="I53" s="10" t="s">
        <v>30</v>
      </c>
    </row>
    <row r="54" spans="1:9" x14ac:dyDescent="0.35">
      <c r="A54" s="10" t="s">
        <v>95</v>
      </c>
      <c r="B54" s="14">
        <v>46240</v>
      </c>
      <c r="C54" s="10" t="s">
        <v>39</v>
      </c>
      <c r="D54" s="10" t="s">
        <v>27</v>
      </c>
      <c r="E54" s="10" t="s">
        <v>20</v>
      </c>
      <c r="F54" s="10" t="s">
        <v>12</v>
      </c>
      <c r="G54" s="10">
        <v>31000</v>
      </c>
      <c r="H54" s="10" t="s">
        <v>40</v>
      </c>
      <c r="I54" s="10" t="s">
        <v>30</v>
      </c>
    </row>
    <row r="55" spans="1:9" x14ac:dyDescent="0.35">
      <c r="A55" s="10" t="s">
        <v>96</v>
      </c>
      <c r="B55" s="14">
        <v>46244</v>
      </c>
      <c r="C55" s="10" t="s">
        <v>34</v>
      </c>
      <c r="D55" s="10" t="s">
        <v>35</v>
      </c>
      <c r="E55" s="10" t="s">
        <v>20</v>
      </c>
      <c r="F55" s="10" t="s">
        <v>8</v>
      </c>
      <c r="G55" s="10">
        <v>10200</v>
      </c>
      <c r="H55" s="10" t="s">
        <v>36</v>
      </c>
      <c r="I55" s="10" t="s">
        <v>30</v>
      </c>
    </row>
    <row r="56" spans="1:9" x14ac:dyDescent="0.35">
      <c r="A56" s="10" t="s">
        <v>97</v>
      </c>
      <c r="B56" s="14">
        <v>46248</v>
      </c>
      <c r="C56" s="10" t="s">
        <v>42</v>
      </c>
      <c r="D56" s="10" t="s">
        <v>35</v>
      </c>
      <c r="E56" s="10" t="s">
        <v>19</v>
      </c>
      <c r="F56" s="10" t="s">
        <v>28</v>
      </c>
      <c r="G56" s="10">
        <v>37000</v>
      </c>
      <c r="H56" s="10" t="s">
        <v>36</v>
      </c>
      <c r="I56" s="10" t="s">
        <v>30</v>
      </c>
    </row>
    <row r="57" spans="1:9" x14ac:dyDescent="0.35">
      <c r="A57" s="10" t="s">
        <v>98</v>
      </c>
      <c r="B57" s="14">
        <v>46252</v>
      </c>
      <c r="C57" s="10" t="s">
        <v>48</v>
      </c>
      <c r="D57" s="10" t="s">
        <v>27</v>
      </c>
      <c r="E57" s="10" t="s">
        <v>20</v>
      </c>
      <c r="F57" s="10" t="s">
        <v>9</v>
      </c>
      <c r="G57" s="10">
        <v>26000</v>
      </c>
      <c r="H57" s="10" t="s">
        <v>40</v>
      </c>
      <c r="I57" s="10" t="s">
        <v>30</v>
      </c>
    </row>
    <row r="58" spans="1:9" x14ac:dyDescent="0.35">
      <c r="A58" s="10" t="s">
        <v>99</v>
      </c>
      <c r="B58" s="14">
        <v>46256</v>
      </c>
      <c r="C58" s="10" t="s">
        <v>26</v>
      </c>
      <c r="D58" s="10" t="s">
        <v>27</v>
      </c>
      <c r="E58" s="10" t="s">
        <v>20</v>
      </c>
      <c r="F58" s="10" t="s">
        <v>10</v>
      </c>
      <c r="G58" s="10">
        <v>4900</v>
      </c>
      <c r="H58" s="10" t="s">
        <v>29</v>
      </c>
      <c r="I58" s="10" t="s">
        <v>30</v>
      </c>
    </row>
    <row r="59" spans="1:9" x14ac:dyDescent="0.35">
      <c r="A59" s="10" t="s">
        <v>100</v>
      </c>
      <c r="B59" s="14">
        <v>46261</v>
      </c>
      <c r="C59" s="10" t="s">
        <v>32</v>
      </c>
      <c r="D59" s="10" t="s">
        <v>27</v>
      </c>
      <c r="E59" s="10" t="s">
        <v>20</v>
      </c>
      <c r="F59" s="10" t="s">
        <v>7</v>
      </c>
      <c r="G59" s="10">
        <v>12800</v>
      </c>
      <c r="H59" s="10" t="s">
        <v>29</v>
      </c>
      <c r="I59" s="10" t="s">
        <v>44</v>
      </c>
    </row>
    <row r="60" spans="1:9" x14ac:dyDescent="0.35">
      <c r="A60" s="10" t="s">
        <v>101</v>
      </c>
      <c r="B60" s="14">
        <v>46268</v>
      </c>
      <c r="C60" s="10" t="s">
        <v>26</v>
      </c>
      <c r="D60" s="10" t="s">
        <v>27</v>
      </c>
      <c r="E60" s="10" t="s">
        <v>19</v>
      </c>
      <c r="F60" s="10" t="s">
        <v>28</v>
      </c>
      <c r="G60" s="10">
        <v>45000</v>
      </c>
      <c r="H60" s="10" t="s">
        <v>29</v>
      </c>
      <c r="I60" s="10" t="s">
        <v>30</v>
      </c>
    </row>
    <row r="61" spans="1:9" x14ac:dyDescent="0.35">
      <c r="A61" s="10" t="s">
        <v>102</v>
      </c>
      <c r="B61" s="14">
        <v>46272</v>
      </c>
      <c r="C61" s="10" t="s">
        <v>32</v>
      </c>
      <c r="D61" s="10" t="s">
        <v>27</v>
      </c>
      <c r="E61" s="10" t="s">
        <v>20</v>
      </c>
      <c r="F61" s="10" t="s">
        <v>12</v>
      </c>
      <c r="G61" s="10">
        <v>33500</v>
      </c>
      <c r="H61" s="10" t="s">
        <v>40</v>
      </c>
      <c r="I61" s="10" t="s">
        <v>30</v>
      </c>
    </row>
    <row r="62" spans="1:9" x14ac:dyDescent="0.35">
      <c r="A62" s="10" t="s">
        <v>103</v>
      </c>
      <c r="B62" s="14">
        <v>46276</v>
      </c>
      <c r="C62" s="10" t="s">
        <v>58</v>
      </c>
      <c r="D62" s="10" t="s">
        <v>59</v>
      </c>
      <c r="E62" s="10" t="s">
        <v>19</v>
      </c>
      <c r="F62" s="10" t="s">
        <v>28</v>
      </c>
      <c r="G62" s="10">
        <v>28000</v>
      </c>
      <c r="H62" s="10" t="s">
        <v>36</v>
      </c>
      <c r="I62" s="10" t="s">
        <v>30</v>
      </c>
    </row>
    <row r="63" spans="1:9" x14ac:dyDescent="0.35">
      <c r="A63" s="10" t="s">
        <v>104</v>
      </c>
      <c r="B63" s="14">
        <v>46280</v>
      </c>
      <c r="C63" s="10" t="s">
        <v>39</v>
      </c>
      <c r="D63" s="10" t="s">
        <v>27</v>
      </c>
      <c r="E63" s="10" t="s">
        <v>20</v>
      </c>
      <c r="F63" s="10" t="s">
        <v>9</v>
      </c>
      <c r="G63" s="10">
        <v>27500</v>
      </c>
      <c r="H63" s="10" t="s">
        <v>40</v>
      </c>
      <c r="I63" s="10" t="s">
        <v>30</v>
      </c>
    </row>
    <row r="64" spans="1:9" x14ac:dyDescent="0.35">
      <c r="A64" s="10" t="s">
        <v>105</v>
      </c>
      <c r="B64" s="14">
        <v>46284</v>
      </c>
      <c r="C64" s="10" t="s">
        <v>26</v>
      </c>
      <c r="D64" s="10" t="s">
        <v>27</v>
      </c>
      <c r="E64" s="10" t="s">
        <v>20</v>
      </c>
      <c r="F64" s="10" t="s">
        <v>8</v>
      </c>
      <c r="G64" s="10">
        <v>9100</v>
      </c>
      <c r="H64" s="10" t="s">
        <v>29</v>
      </c>
      <c r="I64" s="10" t="s">
        <v>30</v>
      </c>
    </row>
    <row r="65" spans="1:9" x14ac:dyDescent="0.35">
      <c r="A65" s="10" t="s">
        <v>106</v>
      </c>
      <c r="B65" s="14">
        <v>46288</v>
      </c>
      <c r="C65" s="10" t="s">
        <v>34</v>
      </c>
      <c r="D65" s="10" t="s">
        <v>35</v>
      </c>
      <c r="E65" s="10" t="s">
        <v>20</v>
      </c>
      <c r="F65" s="10" t="s">
        <v>11</v>
      </c>
      <c r="G65" s="10">
        <v>17800</v>
      </c>
      <c r="H65" s="10" t="s">
        <v>36</v>
      </c>
      <c r="I65" s="10" t="s">
        <v>30</v>
      </c>
    </row>
    <row r="66" spans="1:9" x14ac:dyDescent="0.35">
      <c r="A66" s="10" t="s">
        <v>107</v>
      </c>
      <c r="B66" s="14">
        <v>46293</v>
      </c>
      <c r="C66" s="10" t="s">
        <v>42</v>
      </c>
      <c r="D66" s="10" t="s">
        <v>35</v>
      </c>
      <c r="E66" s="10" t="s">
        <v>19</v>
      </c>
      <c r="F66" s="10" t="s">
        <v>28</v>
      </c>
      <c r="G66" s="10">
        <v>41000</v>
      </c>
      <c r="H66" s="10" t="s">
        <v>36</v>
      </c>
      <c r="I66" s="10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D34D2-D7DD-4292-8D79-4F0EB3B663BF}">
  <dimension ref="A1:C73"/>
  <sheetViews>
    <sheetView workbookViewId="0">
      <selection activeCell="A2" sqref="A2:C73"/>
    </sheetView>
  </sheetViews>
  <sheetFormatPr defaultRowHeight="14.5" x14ac:dyDescent="0.35"/>
  <cols>
    <col min="1" max="1" width="10.1796875" bestFit="1" customWidth="1"/>
    <col min="3" max="3" width="10.1796875" bestFit="1" customWidth="1"/>
  </cols>
  <sheetData>
    <row r="1" spans="1:3" x14ac:dyDescent="0.35">
      <c r="A1" s="7" t="s">
        <v>4</v>
      </c>
      <c r="B1" s="7" t="s">
        <v>5</v>
      </c>
      <c r="C1" s="7" t="s">
        <v>6</v>
      </c>
    </row>
    <row r="2" spans="1:3" x14ac:dyDescent="0.35">
      <c r="A2" s="12">
        <v>46048</v>
      </c>
      <c r="B2" s="10" t="s">
        <v>7</v>
      </c>
      <c r="C2" s="10">
        <v>20000</v>
      </c>
    </row>
    <row r="3" spans="1:3" x14ac:dyDescent="0.35">
      <c r="A3" s="12">
        <v>46048</v>
      </c>
      <c r="B3" s="10" t="s">
        <v>8</v>
      </c>
      <c r="C3" s="10">
        <v>10000</v>
      </c>
    </row>
    <row r="4" spans="1:3" x14ac:dyDescent="0.35">
      <c r="A4" s="12">
        <v>46048</v>
      </c>
      <c r="B4" s="10" t="s">
        <v>9</v>
      </c>
      <c r="C4" s="10">
        <v>30000</v>
      </c>
    </row>
    <row r="5" spans="1:3" x14ac:dyDescent="0.35">
      <c r="A5" s="12">
        <v>46048</v>
      </c>
      <c r="B5" s="10" t="s">
        <v>10</v>
      </c>
      <c r="C5" s="10">
        <v>12000</v>
      </c>
    </row>
    <row r="6" spans="1:3" x14ac:dyDescent="0.35">
      <c r="A6" s="12">
        <v>46048</v>
      </c>
      <c r="B6" s="10" t="s">
        <v>11</v>
      </c>
      <c r="C6" s="10">
        <v>18000</v>
      </c>
    </row>
    <row r="7" spans="1:3" x14ac:dyDescent="0.35">
      <c r="A7" s="12">
        <v>46048</v>
      </c>
      <c r="B7" s="10" t="s">
        <v>12</v>
      </c>
      <c r="C7" s="10">
        <v>25000</v>
      </c>
    </row>
    <row r="8" spans="1:3" x14ac:dyDescent="0.35">
      <c r="A8" s="12">
        <v>46079</v>
      </c>
      <c r="B8" s="10" t="s">
        <v>7</v>
      </c>
      <c r="C8" s="10">
        <v>22000</v>
      </c>
    </row>
    <row r="9" spans="1:3" x14ac:dyDescent="0.35">
      <c r="A9" s="12">
        <v>46079</v>
      </c>
      <c r="B9" s="10" t="s">
        <v>8</v>
      </c>
      <c r="C9" s="10">
        <v>10000</v>
      </c>
    </row>
    <row r="10" spans="1:3" x14ac:dyDescent="0.35">
      <c r="A10" s="12">
        <v>46079</v>
      </c>
      <c r="B10" s="10" t="s">
        <v>9</v>
      </c>
      <c r="C10" s="10">
        <v>30000</v>
      </c>
    </row>
    <row r="11" spans="1:3" x14ac:dyDescent="0.35">
      <c r="A11" s="12">
        <v>46079</v>
      </c>
      <c r="B11" s="10" t="s">
        <v>10</v>
      </c>
      <c r="C11" s="10">
        <v>12000</v>
      </c>
    </row>
    <row r="12" spans="1:3" x14ac:dyDescent="0.35">
      <c r="A12" s="12">
        <v>46079</v>
      </c>
      <c r="B12" s="10" t="s">
        <v>11</v>
      </c>
      <c r="C12" s="10">
        <v>19000</v>
      </c>
    </row>
    <row r="13" spans="1:3" x14ac:dyDescent="0.35">
      <c r="A13" s="12">
        <v>46079</v>
      </c>
      <c r="B13" s="10" t="s">
        <v>12</v>
      </c>
      <c r="C13" s="10">
        <v>30000</v>
      </c>
    </row>
    <row r="14" spans="1:3" x14ac:dyDescent="0.35">
      <c r="A14" s="12">
        <v>46107</v>
      </c>
      <c r="B14" s="10" t="s">
        <v>7</v>
      </c>
      <c r="C14" s="10">
        <v>23000</v>
      </c>
    </row>
    <row r="15" spans="1:3" x14ac:dyDescent="0.35">
      <c r="A15" s="12">
        <v>46107</v>
      </c>
      <c r="B15" s="10" t="s">
        <v>8</v>
      </c>
      <c r="C15" s="10">
        <v>11000</v>
      </c>
    </row>
    <row r="16" spans="1:3" x14ac:dyDescent="0.35">
      <c r="A16" s="12">
        <v>46107</v>
      </c>
      <c r="B16" s="10" t="s">
        <v>9</v>
      </c>
      <c r="C16" s="10">
        <v>32000</v>
      </c>
    </row>
    <row r="17" spans="1:3" x14ac:dyDescent="0.35">
      <c r="A17" s="12">
        <v>46107</v>
      </c>
      <c r="B17" s="10" t="s">
        <v>10</v>
      </c>
      <c r="C17" s="10">
        <v>13000</v>
      </c>
    </row>
    <row r="18" spans="1:3" x14ac:dyDescent="0.35">
      <c r="A18" s="12">
        <v>46107</v>
      </c>
      <c r="B18" s="10" t="s">
        <v>11</v>
      </c>
      <c r="C18" s="10">
        <v>20000</v>
      </c>
    </row>
    <row r="19" spans="1:3" x14ac:dyDescent="0.35">
      <c r="A19" s="12">
        <v>46107</v>
      </c>
      <c r="B19" s="10" t="s">
        <v>12</v>
      </c>
      <c r="C19" s="10">
        <v>35000</v>
      </c>
    </row>
    <row r="20" spans="1:3" x14ac:dyDescent="0.35">
      <c r="A20" s="12">
        <v>46138</v>
      </c>
      <c r="B20" s="10" t="s">
        <v>7</v>
      </c>
      <c r="C20" s="10">
        <v>24000</v>
      </c>
    </row>
    <row r="21" spans="1:3" x14ac:dyDescent="0.35">
      <c r="A21" s="12">
        <v>46138</v>
      </c>
      <c r="B21" s="10" t="s">
        <v>8</v>
      </c>
      <c r="C21" s="10">
        <v>12000</v>
      </c>
    </row>
    <row r="22" spans="1:3" x14ac:dyDescent="0.35">
      <c r="A22" s="12">
        <v>46138</v>
      </c>
      <c r="B22" s="10" t="s">
        <v>9</v>
      </c>
      <c r="C22" s="10">
        <v>34000</v>
      </c>
    </row>
    <row r="23" spans="1:3" x14ac:dyDescent="0.35">
      <c r="A23" s="12">
        <v>46138</v>
      </c>
      <c r="B23" s="10" t="s">
        <v>10</v>
      </c>
      <c r="C23" s="10">
        <v>13000</v>
      </c>
    </row>
    <row r="24" spans="1:3" x14ac:dyDescent="0.35">
      <c r="A24" s="12">
        <v>46138</v>
      </c>
      <c r="B24" s="10" t="s">
        <v>11</v>
      </c>
      <c r="C24" s="10">
        <v>20000</v>
      </c>
    </row>
    <row r="25" spans="1:3" x14ac:dyDescent="0.35">
      <c r="A25" s="12">
        <v>46138</v>
      </c>
      <c r="B25" s="10" t="s">
        <v>12</v>
      </c>
      <c r="C25" s="10">
        <v>35000</v>
      </c>
    </row>
    <row r="26" spans="1:3" x14ac:dyDescent="0.35">
      <c r="A26" s="12">
        <v>46168</v>
      </c>
      <c r="B26" s="10" t="s">
        <v>7</v>
      </c>
      <c r="C26" s="10">
        <v>25000</v>
      </c>
    </row>
    <row r="27" spans="1:3" x14ac:dyDescent="0.35">
      <c r="A27" s="12">
        <v>46168</v>
      </c>
      <c r="B27" s="10" t="s">
        <v>8</v>
      </c>
      <c r="C27" s="10">
        <v>13000</v>
      </c>
    </row>
    <row r="28" spans="1:3" x14ac:dyDescent="0.35">
      <c r="A28" s="12">
        <v>46168</v>
      </c>
      <c r="B28" s="10" t="s">
        <v>9</v>
      </c>
      <c r="C28" s="10">
        <v>36000</v>
      </c>
    </row>
    <row r="29" spans="1:3" x14ac:dyDescent="0.35">
      <c r="A29" s="12">
        <v>46168</v>
      </c>
      <c r="B29" s="10" t="s">
        <v>10</v>
      </c>
      <c r="C29" s="10">
        <v>14000</v>
      </c>
    </row>
    <row r="30" spans="1:3" x14ac:dyDescent="0.35">
      <c r="A30" s="12">
        <v>46168</v>
      </c>
      <c r="B30" s="10" t="s">
        <v>11</v>
      </c>
      <c r="C30" s="10">
        <v>21000</v>
      </c>
    </row>
    <row r="31" spans="1:3" x14ac:dyDescent="0.35">
      <c r="A31" s="12">
        <v>46168</v>
      </c>
      <c r="B31" s="10" t="s">
        <v>12</v>
      </c>
      <c r="C31" s="10">
        <v>38000</v>
      </c>
    </row>
    <row r="32" spans="1:3" x14ac:dyDescent="0.35">
      <c r="A32" s="12">
        <v>46199</v>
      </c>
      <c r="B32" s="10" t="s">
        <v>7</v>
      </c>
      <c r="C32" s="10">
        <v>26000</v>
      </c>
    </row>
    <row r="33" spans="1:3" x14ac:dyDescent="0.35">
      <c r="A33" s="12">
        <v>46199</v>
      </c>
      <c r="B33" s="10" t="s">
        <v>8</v>
      </c>
      <c r="C33" s="10">
        <v>14000</v>
      </c>
    </row>
    <row r="34" spans="1:3" x14ac:dyDescent="0.35">
      <c r="A34" s="12">
        <v>46199</v>
      </c>
      <c r="B34" s="10" t="s">
        <v>9</v>
      </c>
      <c r="C34" s="10">
        <v>38000</v>
      </c>
    </row>
    <row r="35" spans="1:3" x14ac:dyDescent="0.35">
      <c r="A35" s="12">
        <v>46199</v>
      </c>
      <c r="B35" s="10" t="s">
        <v>10</v>
      </c>
      <c r="C35" s="10">
        <v>14000</v>
      </c>
    </row>
    <row r="36" spans="1:3" x14ac:dyDescent="0.35">
      <c r="A36" s="12">
        <v>46199</v>
      </c>
      <c r="B36" s="10" t="s">
        <v>11</v>
      </c>
      <c r="C36" s="10">
        <v>22000</v>
      </c>
    </row>
    <row r="37" spans="1:3" x14ac:dyDescent="0.35">
      <c r="A37" s="12">
        <v>46199</v>
      </c>
      <c r="B37" s="10" t="s">
        <v>12</v>
      </c>
      <c r="C37" s="10">
        <v>40000</v>
      </c>
    </row>
    <row r="38" spans="1:3" x14ac:dyDescent="0.35">
      <c r="A38" s="12">
        <v>46229</v>
      </c>
      <c r="B38" s="10" t="s">
        <v>7</v>
      </c>
      <c r="C38" s="10">
        <v>27000</v>
      </c>
    </row>
    <row r="39" spans="1:3" x14ac:dyDescent="0.35">
      <c r="A39" s="12">
        <v>46229</v>
      </c>
      <c r="B39" s="10" t="s">
        <v>8</v>
      </c>
      <c r="C39" s="10">
        <v>15000</v>
      </c>
    </row>
    <row r="40" spans="1:3" x14ac:dyDescent="0.35">
      <c r="A40" s="12">
        <v>46229</v>
      </c>
      <c r="B40" s="10" t="s">
        <v>9</v>
      </c>
      <c r="C40" s="10">
        <v>40000</v>
      </c>
    </row>
    <row r="41" spans="1:3" x14ac:dyDescent="0.35">
      <c r="A41" s="12">
        <v>46229</v>
      </c>
      <c r="B41" s="10" t="s">
        <v>10</v>
      </c>
      <c r="C41" s="10">
        <v>15000</v>
      </c>
    </row>
    <row r="42" spans="1:3" x14ac:dyDescent="0.35">
      <c r="A42" s="12">
        <v>46229</v>
      </c>
      <c r="B42" s="10" t="s">
        <v>11</v>
      </c>
      <c r="C42" s="10">
        <v>23000</v>
      </c>
    </row>
    <row r="43" spans="1:3" x14ac:dyDescent="0.35">
      <c r="A43" s="12">
        <v>46229</v>
      </c>
      <c r="B43" s="10" t="s">
        <v>12</v>
      </c>
      <c r="C43" s="10">
        <v>42000</v>
      </c>
    </row>
    <row r="44" spans="1:3" x14ac:dyDescent="0.35">
      <c r="A44" s="12">
        <v>46260</v>
      </c>
      <c r="B44" s="10" t="s">
        <v>7</v>
      </c>
      <c r="C44" s="10">
        <v>28000</v>
      </c>
    </row>
    <row r="45" spans="1:3" x14ac:dyDescent="0.35">
      <c r="A45" s="12">
        <v>46260</v>
      </c>
      <c r="B45" s="10" t="s">
        <v>8</v>
      </c>
      <c r="C45" s="10">
        <v>16000</v>
      </c>
    </row>
    <row r="46" spans="1:3" x14ac:dyDescent="0.35">
      <c r="A46" s="12">
        <v>46260</v>
      </c>
      <c r="B46" s="10" t="s">
        <v>9</v>
      </c>
      <c r="C46" s="10">
        <v>42000</v>
      </c>
    </row>
    <row r="47" spans="1:3" x14ac:dyDescent="0.35">
      <c r="A47" s="12">
        <v>46260</v>
      </c>
      <c r="B47" s="10" t="s">
        <v>10</v>
      </c>
      <c r="C47" s="10">
        <v>16000</v>
      </c>
    </row>
    <row r="48" spans="1:3" x14ac:dyDescent="0.35">
      <c r="A48" s="12">
        <v>46260</v>
      </c>
      <c r="B48" s="10" t="s">
        <v>11</v>
      </c>
      <c r="C48" s="10">
        <v>24000</v>
      </c>
    </row>
    <row r="49" spans="1:3" x14ac:dyDescent="0.35">
      <c r="A49" s="12">
        <v>46260</v>
      </c>
      <c r="B49" s="10" t="s">
        <v>12</v>
      </c>
      <c r="C49" s="10">
        <v>45000</v>
      </c>
    </row>
    <row r="50" spans="1:3" x14ac:dyDescent="0.35">
      <c r="A50" s="12">
        <v>46291</v>
      </c>
      <c r="B50" s="10" t="s">
        <v>7</v>
      </c>
      <c r="C50" s="10">
        <v>29000</v>
      </c>
    </row>
    <row r="51" spans="1:3" x14ac:dyDescent="0.35">
      <c r="A51" s="12">
        <v>46291</v>
      </c>
      <c r="B51" s="10" t="s">
        <v>8</v>
      </c>
      <c r="C51" s="10">
        <v>17000</v>
      </c>
    </row>
    <row r="52" spans="1:3" x14ac:dyDescent="0.35">
      <c r="A52" s="12">
        <v>46291</v>
      </c>
      <c r="B52" s="10" t="s">
        <v>9</v>
      </c>
      <c r="C52" s="10">
        <v>44000</v>
      </c>
    </row>
    <row r="53" spans="1:3" x14ac:dyDescent="0.35">
      <c r="A53" s="12">
        <v>46291</v>
      </c>
      <c r="B53" s="10" t="s">
        <v>10</v>
      </c>
      <c r="C53" s="10">
        <v>17000</v>
      </c>
    </row>
    <row r="54" spans="1:3" x14ac:dyDescent="0.35">
      <c r="A54" s="12">
        <v>46291</v>
      </c>
      <c r="B54" s="10" t="s">
        <v>11</v>
      </c>
      <c r="C54" s="10">
        <v>25000</v>
      </c>
    </row>
    <row r="55" spans="1:3" x14ac:dyDescent="0.35">
      <c r="A55" s="12">
        <v>46291</v>
      </c>
      <c r="B55" s="10" t="s">
        <v>12</v>
      </c>
      <c r="C55" s="10">
        <v>48000</v>
      </c>
    </row>
    <row r="56" spans="1:3" x14ac:dyDescent="0.35">
      <c r="A56" s="12">
        <v>46321</v>
      </c>
      <c r="B56" s="10" t="s">
        <v>7</v>
      </c>
      <c r="C56" s="10">
        <v>30000</v>
      </c>
    </row>
    <row r="57" spans="1:3" x14ac:dyDescent="0.35">
      <c r="A57" s="12">
        <v>46321</v>
      </c>
      <c r="B57" s="10" t="s">
        <v>8</v>
      </c>
      <c r="C57" s="10">
        <v>18000</v>
      </c>
    </row>
    <row r="58" spans="1:3" x14ac:dyDescent="0.35">
      <c r="A58" s="12">
        <v>46321</v>
      </c>
      <c r="B58" s="10" t="s">
        <v>9</v>
      </c>
      <c r="C58" s="10">
        <v>45000</v>
      </c>
    </row>
    <row r="59" spans="1:3" x14ac:dyDescent="0.35">
      <c r="A59" s="12">
        <v>46321</v>
      </c>
      <c r="B59" s="10" t="s">
        <v>10</v>
      </c>
      <c r="C59" s="10">
        <v>18000</v>
      </c>
    </row>
    <row r="60" spans="1:3" x14ac:dyDescent="0.35">
      <c r="A60" s="12">
        <v>46321</v>
      </c>
      <c r="B60" s="10" t="s">
        <v>11</v>
      </c>
      <c r="C60" s="10">
        <v>26000</v>
      </c>
    </row>
    <row r="61" spans="1:3" x14ac:dyDescent="0.35">
      <c r="A61" s="12">
        <v>46321</v>
      </c>
      <c r="B61" s="10" t="s">
        <v>12</v>
      </c>
      <c r="C61" s="10">
        <v>50000</v>
      </c>
    </row>
    <row r="62" spans="1:3" x14ac:dyDescent="0.35">
      <c r="A62" s="12">
        <v>46352</v>
      </c>
      <c r="B62" s="10" t="s">
        <v>7</v>
      </c>
      <c r="C62" s="10">
        <v>31000</v>
      </c>
    </row>
    <row r="63" spans="1:3" x14ac:dyDescent="0.35">
      <c r="A63" s="12">
        <v>46352</v>
      </c>
      <c r="B63" s="10" t="s">
        <v>8</v>
      </c>
      <c r="C63" s="10">
        <v>19000</v>
      </c>
    </row>
    <row r="64" spans="1:3" x14ac:dyDescent="0.35">
      <c r="A64" s="12">
        <v>46352</v>
      </c>
      <c r="B64" s="10" t="s">
        <v>9</v>
      </c>
      <c r="C64" s="10">
        <v>46000</v>
      </c>
    </row>
    <row r="65" spans="1:3" x14ac:dyDescent="0.35">
      <c r="A65" s="12">
        <v>46352</v>
      </c>
      <c r="B65" s="10" t="s">
        <v>10</v>
      </c>
      <c r="C65" s="10">
        <v>19000</v>
      </c>
    </row>
    <row r="66" spans="1:3" x14ac:dyDescent="0.35">
      <c r="A66" s="12">
        <v>46352</v>
      </c>
      <c r="B66" s="10" t="s">
        <v>11</v>
      </c>
      <c r="C66" s="10">
        <v>27000</v>
      </c>
    </row>
    <row r="67" spans="1:3" x14ac:dyDescent="0.35">
      <c r="A67" s="12">
        <v>46352</v>
      </c>
      <c r="B67" s="10" t="s">
        <v>12</v>
      </c>
      <c r="C67" s="10">
        <v>52000</v>
      </c>
    </row>
    <row r="68" spans="1:3" x14ac:dyDescent="0.35">
      <c r="A68" s="12">
        <v>46382</v>
      </c>
      <c r="B68" s="10" t="s">
        <v>7</v>
      </c>
      <c r="C68" s="10">
        <v>32000</v>
      </c>
    </row>
    <row r="69" spans="1:3" x14ac:dyDescent="0.35">
      <c r="A69" s="12">
        <v>46382</v>
      </c>
      <c r="B69" s="10" t="s">
        <v>8</v>
      </c>
      <c r="C69" s="10">
        <v>20000</v>
      </c>
    </row>
    <row r="70" spans="1:3" x14ac:dyDescent="0.35">
      <c r="A70" s="12">
        <v>46382</v>
      </c>
      <c r="B70" s="10" t="s">
        <v>9</v>
      </c>
      <c r="C70" s="10">
        <v>48000</v>
      </c>
    </row>
    <row r="71" spans="1:3" x14ac:dyDescent="0.35">
      <c r="A71" s="12">
        <v>46382</v>
      </c>
      <c r="B71" s="10" t="s">
        <v>10</v>
      </c>
      <c r="C71" s="10">
        <v>20000</v>
      </c>
    </row>
    <row r="72" spans="1:3" x14ac:dyDescent="0.35">
      <c r="A72" s="12">
        <v>46382</v>
      </c>
      <c r="B72" s="10" t="s">
        <v>11</v>
      </c>
      <c r="C72" s="10">
        <v>28000</v>
      </c>
    </row>
    <row r="73" spans="1:3" x14ac:dyDescent="0.35">
      <c r="A73" s="12">
        <v>46382</v>
      </c>
      <c r="B73" s="10" t="s">
        <v>12</v>
      </c>
      <c r="C73" s="10">
        <v>55000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C3B2F-628E-4378-BB84-EBFAD1457794}">
  <dimension ref="A1:K38"/>
  <sheetViews>
    <sheetView topLeftCell="A25" zoomScaleNormal="100" workbookViewId="0">
      <selection activeCell="A6" sqref="A6:B7"/>
    </sheetView>
  </sheetViews>
  <sheetFormatPr defaultRowHeight="14.5" x14ac:dyDescent="0.35"/>
  <cols>
    <col min="1" max="1" width="11.1796875" bestFit="1" customWidth="1"/>
    <col min="2" max="3" width="11.26953125" bestFit="1" customWidth="1"/>
    <col min="4" max="4" width="11.1796875" bestFit="1" customWidth="1"/>
    <col min="7" max="8" width="11.1796875" bestFit="1" customWidth="1"/>
  </cols>
  <sheetData>
    <row r="1" spans="1:11" ht="21" x14ac:dyDescent="0.5">
      <c r="A1" s="15" t="s">
        <v>13</v>
      </c>
      <c r="B1" s="15"/>
      <c r="C1" s="15"/>
      <c r="D1" s="15"/>
      <c r="E1" s="15"/>
      <c r="F1" s="15"/>
      <c r="G1" s="15"/>
      <c r="H1" s="15"/>
      <c r="I1" s="15"/>
      <c r="J1" s="15"/>
    </row>
    <row r="3" spans="1:11" x14ac:dyDescent="0.35">
      <c r="A3" s="4" t="s">
        <v>14</v>
      </c>
      <c r="B3" s="4"/>
      <c r="D3" s="4" t="s">
        <v>15</v>
      </c>
      <c r="E3" s="4"/>
      <c r="G3" s="4" t="s">
        <v>16</v>
      </c>
      <c r="H3" s="4"/>
      <c r="J3" s="4" t="s">
        <v>17</v>
      </c>
      <c r="K3" s="4"/>
    </row>
    <row r="4" spans="1:11" x14ac:dyDescent="0.35">
      <c r="A4" s="9">
        <f>SUMIF(Transactions!E:E,"INFLOW",Transactions!G:G)</f>
        <v>710500</v>
      </c>
      <c r="B4" s="10"/>
      <c r="D4" s="9">
        <f>SUMIF(Transactions!E:E,"OUTFLOW",Transactions!G:G)</f>
        <v>655400</v>
      </c>
      <c r="E4" s="10"/>
      <c r="G4" s="11">
        <f>A4-D4</f>
        <v>55100</v>
      </c>
      <c r="H4" s="10"/>
      <c r="J4" s="10">
        <f>COUNTA(Transactions!A:A)-1</f>
        <v>65</v>
      </c>
      <c r="K4" s="10"/>
    </row>
    <row r="5" spans="1:11" x14ac:dyDescent="0.35">
      <c r="A5" s="8"/>
      <c r="B5" s="8"/>
    </row>
    <row r="6" spans="1:11" x14ac:dyDescent="0.35">
      <c r="A6" s="4" t="s">
        <v>18</v>
      </c>
      <c r="B6" s="4"/>
    </row>
    <row r="7" spans="1:11" x14ac:dyDescent="0.35">
      <c r="A7" s="10">
        <v>6</v>
      </c>
      <c r="B7" s="10"/>
    </row>
    <row r="10" spans="1:11" x14ac:dyDescent="0.35">
      <c r="A10" s="4" t="s">
        <v>4</v>
      </c>
      <c r="B10" s="4" t="s">
        <v>19</v>
      </c>
      <c r="C10" s="4" t="s">
        <v>20</v>
      </c>
      <c r="D10" s="4" t="s">
        <v>21</v>
      </c>
      <c r="F10" s="5" t="s">
        <v>117</v>
      </c>
      <c r="G10" s="6"/>
    </row>
    <row r="11" spans="1:11" x14ac:dyDescent="0.35">
      <c r="A11" s="2">
        <v>46048</v>
      </c>
      <c r="B11" s="3">
        <f>SUMIFS(Transactions!G:G,Transactions!E:E,"Inflow",Transactions!B:B,"&gt;="&amp;DATE(2026,1,1),Transactions!B:B,"&lt;"&amp;DATE(2026,2,1))</f>
        <v>65000</v>
      </c>
      <c r="C11" s="3">
        <f>SUMIFS(Transactions!G:G,Transactions!E:E,"Outflow",Transactions!B:B,"&gt;="&amp;DATE(2026,1,1),Transactions!B:B,"&lt;"&amp;DATE(2026,2,1))</f>
        <v>43500</v>
      </c>
      <c r="D11" s="3">
        <f t="shared" ref="D11:D19" si="0">B11-C11</f>
        <v>21500</v>
      </c>
      <c r="F11" s="1" t="s">
        <v>117</v>
      </c>
      <c r="G11" s="1" t="s">
        <v>118</v>
      </c>
      <c r="H11" s="1" t="s">
        <v>119</v>
      </c>
    </row>
    <row r="12" spans="1:11" x14ac:dyDescent="0.35">
      <c r="A12" s="2">
        <v>46079</v>
      </c>
      <c r="B12" s="3">
        <f>SUMIFS(Transactions!G:G,Transactions!E:E,"Inflow",Transactions!B:B,"&gt;="&amp;DATE(2026,2,1),Transactions!B:B,"&lt;"&amp;DATE(2026,3,1))</f>
        <v>57500</v>
      </c>
      <c r="C12" s="3">
        <f>SUMIFS(Transactions!G:G,Transactions!E:E,"Outflow",Transactions!B:B,"&gt;="&amp;DATE(2026,2,1),Transactions!B:B,"&lt;"&amp;DATE(2026,3,1))</f>
        <v>56700</v>
      </c>
      <c r="D12" s="3">
        <f t="shared" si="0"/>
        <v>800</v>
      </c>
      <c r="F12" s="1" t="s">
        <v>29</v>
      </c>
      <c r="G12" s="3">
        <f>SUMIFS(Transactions!G:G,Transactions!H:H,F12,Transactions!E:E,"Inflow")</f>
        <v>312000</v>
      </c>
      <c r="H12" s="3">
        <f>SUMIFS(Transactions!G:G,Transactions!H:H,F12,Transactions!E:E,"Outflow")</f>
        <v>111200</v>
      </c>
    </row>
    <row r="13" spans="1:11" x14ac:dyDescent="0.35">
      <c r="A13" s="2">
        <v>46107</v>
      </c>
      <c r="B13" s="3">
        <f>SUMIFS(Transactions!G:G,Transactions!E:E,"Inflow",Transactions!B:B,"&gt;="&amp;DATE(2026,3,1),Transactions!B:B,"&lt;"&amp;DATE(2026,4,1))</f>
        <v>55000</v>
      </c>
      <c r="C13" s="3">
        <f>SUMIFS(Transactions!G:G,Transactions!E:E,"Outflow",Transactions!B:B,"&gt;="&amp;DATE(2026,3,1),Transactions!B:B,"&lt;"&amp;DATE(2026,4,1))</f>
        <v>69000</v>
      </c>
      <c r="D13" s="3">
        <f t="shared" si="0"/>
        <v>-14000</v>
      </c>
      <c r="F13" s="1" t="s">
        <v>36</v>
      </c>
      <c r="G13" s="3">
        <f>SUMIFS(Transactions!G:G,Transactions!H:H,F13,Transactions!E:E,"Inflow")</f>
        <v>398500</v>
      </c>
      <c r="H13" s="3">
        <f>SUMIFS(Transactions!G:G,Transactions!H:H,F13,Transactions!E:E,"Outflow")</f>
        <v>66200</v>
      </c>
    </row>
    <row r="14" spans="1:11" x14ac:dyDescent="0.35">
      <c r="A14" s="2">
        <v>46138</v>
      </c>
      <c r="B14" s="3">
        <f>SUMIFS(Transactions!G:G,Transactions!E:E,"Inflow",Transactions!B:B,"&gt;="&amp;DATE(2026,4,1),Transactions!B:B,"&lt;"&amp;DATE(2026,5,1))</f>
        <v>100000</v>
      </c>
      <c r="C14" s="3">
        <f>SUMIFS(Transactions!G:G,Transactions!E:E,"Inflow",Transactions!B:B,"&gt;="&amp;DATE(2026,4,1),Transactions!B:B,"&lt;"&amp;DATE(2026,5,1))</f>
        <v>100000</v>
      </c>
      <c r="D14" s="3">
        <f t="shared" si="0"/>
        <v>0</v>
      </c>
      <c r="F14" s="1" t="s">
        <v>40</v>
      </c>
      <c r="G14" s="3">
        <f>SUMIFS(Transactions!G:G,Transactions!H:H,F14,Transactions!E:E,"Inflow")</f>
        <v>0</v>
      </c>
      <c r="H14" s="3">
        <f>SUMIFS(Transactions!G:G,Transactions!H:H,F14,Transactions!E:E,"Outflow")</f>
        <v>478000</v>
      </c>
    </row>
    <row r="15" spans="1:11" x14ac:dyDescent="0.35">
      <c r="A15" s="2">
        <v>46168</v>
      </c>
      <c r="B15" s="3">
        <f>SUMIFS(Transactions!G:G,Transactions!E:E,"Inflow",Transactions!B:B,"&gt;="&amp;DATE(2026,5,1),Transactions!B:B,"&lt;"&amp;DATE(2026,6,1))</f>
        <v>61000</v>
      </c>
      <c r="C15" s="3">
        <f>SUMIFS(Transactions!G:G,Transactions!E:E,"Outflow",Transactions!B:B,"&gt;="&amp;DATE(2026,5,1),Transactions!B:B,"&lt;"&amp;DATE(2026,6,1))</f>
        <v>74200</v>
      </c>
      <c r="D15" s="3">
        <f t="shared" si="0"/>
        <v>-13200</v>
      </c>
    </row>
    <row r="16" spans="1:11" x14ac:dyDescent="0.35">
      <c r="A16" s="2">
        <v>46199</v>
      </c>
      <c r="B16" s="3">
        <f>SUMIFS(Transactions!G:G,Transactions!E:E,"Inflow",Transactions!B:B,"&gt;="&amp;DATE(2026,6,1),Transactions!B:B,"&lt;"&amp;DATE(2026,7,1))</f>
        <v>96000</v>
      </c>
      <c r="C16" s="3">
        <f>SUMIFS(Transactions!G:G,Transactions!E:E,"Outflow",Transactions!B:B,"&gt;="&amp;DATE(2026,6,1),Transactions!B:B,"&lt;"&amp;DATE(2026,7,1))</f>
        <v>72100</v>
      </c>
      <c r="D16" s="3">
        <f t="shared" si="0"/>
        <v>23900</v>
      </c>
    </row>
    <row r="17" spans="1:7" x14ac:dyDescent="0.35">
      <c r="A17" s="2">
        <v>46229</v>
      </c>
      <c r="B17" s="3">
        <f>SUMIFS(Transactions!G:G,Transactions!E:E,"Inflow",Transactions!B:B,"&gt;="&amp;DATE(2026,7,1),Transactions!B:B,"&lt;"&amp;DATE(2026,8,1))</f>
        <v>87000</v>
      </c>
      <c r="C17" s="3">
        <f>SUMIFS(Transactions!G:G,Transactions!E:E,"Outflow",Transactions!B:B,"&gt;="&amp;DATE(2026,7,1),Transactions!B:B,"&lt;"&amp;DATE(2026,8,1))</f>
        <v>92700</v>
      </c>
      <c r="D17" s="3">
        <f t="shared" si="0"/>
        <v>-5700</v>
      </c>
    </row>
    <row r="18" spans="1:7" x14ac:dyDescent="0.35">
      <c r="A18" s="2">
        <v>46260</v>
      </c>
      <c r="B18" s="3">
        <f>SUMIFS(Transactions!G:G,Transactions!E:E,"Inflow",Transactions!B:B,"&gt;="&amp;DATE(2026,8,1),Transactions!B:B,"&lt;"&amp;DATE(2026,9,1))</f>
        <v>75000</v>
      </c>
      <c r="C18" s="3">
        <f>SUMIFS(Transactions!G:G,Transactions!E:E,"Outflow",Transactions!B:B,"&gt;="&amp;DATE(2026,8,1),Transactions!B:B,"&lt;"&amp;DATE(2026,9,1))</f>
        <v>84900</v>
      </c>
      <c r="D18" s="3">
        <f t="shared" si="0"/>
        <v>-9900</v>
      </c>
    </row>
    <row r="19" spans="1:7" x14ac:dyDescent="0.35">
      <c r="A19" s="2">
        <v>46291</v>
      </c>
      <c r="B19" s="3">
        <f>SUMIFS(Transactions!G:G,Transactions!E:E,"Inflow",Transactions!B:B,"&gt;="&amp;DATE(2026,9,1),Transactions!B:B,"&lt;"&amp;DATE(2026,10,1))</f>
        <v>114000</v>
      </c>
      <c r="C19" s="3">
        <f>SUMIFS(Transactions!G:G,Transactions!E:E,"Outflow",Transactions!B:B,"&gt;="&amp;DATE(2026,9,1),Transactions!B:B,"&lt;"&amp;DATE(2026,10,1))</f>
        <v>87900</v>
      </c>
      <c r="D19" s="3">
        <f t="shared" si="0"/>
        <v>26100</v>
      </c>
    </row>
    <row r="31" spans="1:7" x14ac:dyDescent="0.35">
      <c r="A31" s="7" t="s">
        <v>110</v>
      </c>
      <c r="B31" s="7"/>
      <c r="C31" s="7"/>
      <c r="F31" s="7" t="s">
        <v>18</v>
      </c>
      <c r="G31" s="7"/>
    </row>
    <row r="32" spans="1:7" x14ac:dyDescent="0.35">
      <c r="A32" s="1" t="s">
        <v>111</v>
      </c>
      <c r="B32" s="1" t="s">
        <v>112</v>
      </c>
      <c r="C32" s="1" t="s">
        <v>113</v>
      </c>
      <c r="D32" s="1" t="s">
        <v>114</v>
      </c>
      <c r="F32" s="1" t="s">
        <v>115</v>
      </c>
      <c r="G32" s="1" t="s">
        <v>116</v>
      </c>
    </row>
    <row r="33" spans="1:7" x14ac:dyDescent="0.35">
      <c r="A33" s="1" t="s">
        <v>7</v>
      </c>
      <c r="B33" s="3">
        <f>SUMIF(Budget!B:B,A33,Budget!C:C)</f>
        <v>317000</v>
      </c>
      <c r="C33" s="3">
        <f>SUMIF(Transactions!F:F,A33,Transactions!G:G)</f>
        <v>63300</v>
      </c>
      <c r="D33" s="3">
        <f t="shared" ref="D33:D38" si="1">B33-C33</f>
        <v>253700</v>
      </c>
      <c r="F33" s="1">
        <f>COUNTIF(Transactions!I:I,"Pending")</f>
        <v>6</v>
      </c>
      <c r="G33" s="1">
        <f>SUMIF(Transactions!I:I,"Pending",Transactions!G:G)</f>
        <v>59600</v>
      </c>
    </row>
    <row r="34" spans="1:7" x14ac:dyDescent="0.35">
      <c r="A34" s="1" t="s">
        <v>8</v>
      </c>
      <c r="B34" s="3">
        <f>SUMIF(Budget!B:B,A34,Budget!C:C)</f>
        <v>175000</v>
      </c>
      <c r="C34" s="3">
        <f>SUMIF(Transactions!F:F,A34,Transactions!G:G)</f>
        <v>70700</v>
      </c>
      <c r="D34" s="3">
        <f t="shared" si="1"/>
        <v>104300</v>
      </c>
    </row>
    <row r="35" spans="1:7" x14ac:dyDescent="0.35">
      <c r="A35" s="1" t="s">
        <v>9</v>
      </c>
      <c r="B35" s="3">
        <f>SUMIF(Budget!B:B,A35,Budget!C:C)</f>
        <v>465000</v>
      </c>
      <c r="C35" s="3">
        <f>SUMIF(Transactions!F:F,A35,Transactions!G:G)</f>
        <v>191800</v>
      </c>
      <c r="D35" s="3">
        <f t="shared" si="1"/>
        <v>273200</v>
      </c>
    </row>
    <row r="36" spans="1:7" x14ac:dyDescent="0.35">
      <c r="A36" s="1" t="s">
        <v>10</v>
      </c>
      <c r="B36" s="3">
        <f>SUMIF(Budget!B:B,A36,Budget!C:C)</f>
        <v>183000</v>
      </c>
      <c r="C36" s="3">
        <f>SUMIF(Transactions!F:F,A36,Transactions!G:G)</f>
        <v>18100</v>
      </c>
      <c r="D36" s="3">
        <f t="shared" si="1"/>
        <v>164900</v>
      </c>
    </row>
    <row r="37" spans="1:7" x14ac:dyDescent="0.35">
      <c r="A37" s="1" t="s">
        <v>11</v>
      </c>
      <c r="B37" s="3">
        <f>SUMIF(Budget!B:B,A37,Budget!C:C)</f>
        <v>273000</v>
      </c>
      <c r="C37" s="3">
        <f>SUMIF(Transactions!F:F,A37,Transactions!G:G)</f>
        <v>97000</v>
      </c>
      <c r="D37" s="3">
        <f t="shared" si="1"/>
        <v>176000</v>
      </c>
    </row>
    <row r="38" spans="1:7" x14ac:dyDescent="0.35">
      <c r="A38" s="1" t="s">
        <v>12</v>
      </c>
      <c r="B38" s="3">
        <f>SUMIF(Budget!B:B,A38,Budget!C:C)</f>
        <v>495000</v>
      </c>
      <c r="C38" s="3">
        <f>SUMIF(Transactions!F:F,A38,Transactions!G:G)</f>
        <v>210000</v>
      </c>
      <c r="D38" s="3">
        <f t="shared" si="1"/>
        <v>285000</v>
      </c>
    </row>
  </sheetData>
  <mergeCells count="1">
    <mergeCell ref="A1:J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Budget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Kirtithkrn26@outlook.com</dc:creator>
  <cp:lastModifiedBy>Kirtithkrn26@outlook.com</cp:lastModifiedBy>
  <dcterms:created xsi:type="dcterms:W3CDTF">2026-10-02T03:11:02Z</dcterms:created>
  <dcterms:modified xsi:type="dcterms:W3CDTF">2026-10-02T06:39:47Z</dcterms:modified>
</cp:coreProperties>
</file>